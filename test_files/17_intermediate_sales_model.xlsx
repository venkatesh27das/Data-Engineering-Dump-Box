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f91bde08f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Summary" sheetId="1" r:id="R8297373c5237451d"/>
    <x:sheet xmlns:r="http://schemas.openxmlformats.org/officeDocument/2006/relationships" name="Sales Data" sheetId="2" r:id="R117ac64e094e4e9b"/>
    <x:sheet xmlns:r="http://schemas.openxmlformats.org/officeDocument/2006/relationships" name="Products" sheetId="3" r:id="R3143840d51564f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.00"/>
    <x:numFmt numFmtId="201" formatCode="yyyy-mm-dd"/>
    <x:numFmt numFmtId="202" formatCode="0.0%"/>
    <x:numFmt numFmtId="203" formatCode="&quot;$&quot;#,##0"/>
    <x:numFmt numFmtId="204" formatCode="0"/>
  </x:numFmts>
  <x:fonts count="12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0"/>
      <x:color rgb="FF475569"/>
      <x:name val="Carlito"/>
    </x:font>
    <x:font>
      <x:b/>
      <x:sz val="10"/>
      <x:color rgb="FF475569"/>
      <x:name val="Carlito"/>
    </x:font>
    <x:font>
      <x:b/>
      <x:sz val="16"/>
      <x:color rgb="FF15324A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475569"/>
      <x:name val="Aptos"/>
    </x:font>
    <x:font>
      <x:b/>
      <x:sz val="10"/>
      <x:color rgb="FF475569"/>
      <x:name val="Aptos"/>
    </x:font>
    <x:font>
      <x:b/>
      <x:sz val="10"/>
      <x:color rgb="FF15324A"/>
      <x:name val="Aptos"/>
    </x:font>
    <x:font>
      <x:b/>
      <x:sz val="18"/>
      <x:color rgb="FFFFFFFF"/>
      <x:name val="Aptos Display"/>
    </x:font>
  </x:fonts>
  <x:fills count="9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15324A"/>
      </x:patternFill>
    </x:fill>
    <x:fill>
      <x:patternFill patternType="solid">
        <x:fgColor rgb="FFEAF1F7"/>
      </x:patternFill>
    </x:fill>
    <x:fill>
      <x:patternFill patternType="solid">
        <x:fgColor rgb="FFDFF7F4"/>
      </x:patternFill>
    </x:fill>
    <x:fill>
      <x:patternFill patternType="solid">
        <x:fgColor rgb="FFDCFCE7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</x:fills>
  <x:borders count="19">
    <x:border/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E2E8F0"/>
      </x:left>
      <x:top style="thin">
        <x:color rgb="FFE2E8F0"/>
      </x:top>
      <x:bottom style="thin">
        <x:color rgb="FF1D4ED8"/>
      </x:bottom>
    </x:border>
    <x:border>
      <x:top style="thin">
        <x:color rgb="FFE2E8F0"/>
      </x:top>
      <x:bottom style="thin">
        <x:color rgb="FF1D4ED8"/>
      </x:bottom>
    </x:border>
    <x:border>
      <x:right style="thin">
        <x:color rgb="FFE2E8F0"/>
      </x:right>
      <x:top style="thin">
        <x:color rgb="FFE2E8F0"/>
      </x:top>
      <x:bottom style="thin">
        <x:color rgb="FF1D4ED8"/>
      </x:bottom>
    </x:border>
    <x:border>
      <x:left style="thin">
        <x:color rgb="FFE2E8F0"/>
      </x:left>
    </x:border>
    <x:border>
      <x:right style="thin">
        <x:color rgb="FFE2E8F0"/>
      </x:right>
    </x:border>
    <x:border>
      <x:bottom style="thin">
        <x:color rgb="FFE2E8F0"/>
      </x:bottom>
    </x:border>
  </x:borders>
  <x:cellStyleXfs count="1">
    <x:xf numFmtId="0" fontId="0" fillId="0" borderId="0"/>
  </x:cellStyleXfs>
  <x:cellXfs count="1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2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2" fontId="0" fillId="0" borderId="9" xfId="0" applyNumberFormat="1" applyFont="1" applyFill="1" applyBorder="1"/>
    <x:xf numFmtId="201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2" fontId="0" fillId="0" borderId="1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5" fillId="5" borderId="12" xfId="0" applyNumberFormat="1" applyFont="1" applyFill="1" applyBorder="1"/>
    <x:xf numFmtId="0" fontId="5" fillId="5" borderId="10" xfId="0" applyNumberFormat="1" applyFont="1" applyFill="1" applyBorder="1"/>
    <x:xf numFmtId="0" fontId="5" fillId="5" borderId="6" xfId="0" applyNumberFormat="1" applyFont="1" applyFill="1" applyBorder="1"/>
    <x:xf numFmtId="0" fontId="5" fillId="5" borderId="4" xfId="0" applyNumberFormat="1" applyFont="1" applyFill="1" applyBorder="1"/>
    <x:xf numFmtId="203" fontId="5" fillId="5" borderId="12" xfId="0" applyNumberFormat="1" applyFont="1" applyFill="1" applyBorder="1"/>
    <x:xf numFmtId="203" fontId="5" fillId="5" borderId="10" xfId="0" applyNumberFormat="1" applyFont="1" applyFill="1" applyBorder="1"/>
    <x:xf numFmtId="203" fontId="5" fillId="5" borderId="6" xfId="0" applyNumberFormat="1" applyFont="1" applyFill="1" applyBorder="1"/>
    <x:xf numFmtId="203" fontId="5" fillId="5" borderId="4" xfId="0" applyNumberFormat="1" applyFont="1" applyFill="1" applyBorder="1"/>
    <x:xf numFmtId="203" fontId="5" fillId="5" borderId="12" xfId="0" applyNumberFormat="1" applyFont="1" applyFill="1" applyBorder="1" applyAlignment="1">
      <x:alignment horizontal="center"/>
    </x:xf>
    <x:xf numFmtId="203" fontId="5" fillId="5" borderId="10" xfId="0" applyNumberFormat="1" applyFont="1" applyFill="1" applyBorder="1" applyAlignment="1">
      <x:alignment horizontal="center"/>
    </x:xf>
    <x:xf numFmtId="203" fontId="5" fillId="5" borderId="6" xfId="0" applyNumberFormat="1" applyFont="1" applyFill="1" applyBorder="1" applyAlignment="1">
      <x:alignment horizontal="center"/>
    </x:xf>
    <x:xf numFmtId="203" fontId="5" fillId="5" borderId="4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/>
    <x:xf numFmtId="0" fontId="5" fillId="6" borderId="12" xfId="0" applyNumberFormat="1" applyFont="1" applyFill="1" applyBorder="1"/>
    <x:xf numFmtId="0" fontId="5" fillId="6" borderId="10" xfId="0" applyNumberFormat="1" applyFont="1" applyFill="1" applyBorder="1"/>
    <x:xf numFmtId="0" fontId="5" fillId="6" borderId="6" xfId="0" applyNumberFormat="1" applyFont="1" applyFill="1" applyBorder="1"/>
    <x:xf numFmtId="0" fontId="5" fillId="6" borderId="4" xfId="0" applyNumberFormat="1" applyFont="1" applyFill="1" applyBorder="1"/>
    <x:xf numFmtId="203" fontId="5" fillId="6" borderId="12" xfId="0" applyNumberFormat="1" applyFont="1" applyFill="1" applyBorder="1"/>
    <x:xf numFmtId="203" fontId="5" fillId="6" borderId="10" xfId="0" applyNumberFormat="1" applyFont="1" applyFill="1" applyBorder="1"/>
    <x:xf numFmtId="203" fontId="5" fillId="6" borderId="6" xfId="0" applyNumberFormat="1" applyFont="1" applyFill="1" applyBorder="1"/>
    <x:xf numFmtId="203" fontId="5" fillId="6" borderId="4" xfId="0" applyNumberFormat="1" applyFont="1" applyFill="1" applyBorder="1"/>
    <x:xf numFmtId="203" fontId="5" fillId="6" borderId="12" xfId="0" applyNumberFormat="1" applyFont="1" applyFill="1" applyBorder="1" applyAlignment="1">
      <x:alignment horizontal="center"/>
    </x:xf>
    <x:xf numFmtId="203" fontId="5" fillId="6" borderId="10" xfId="0" applyNumberFormat="1" applyFont="1" applyFill="1" applyBorder="1" applyAlignment="1">
      <x:alignment horizontal="center"/>
    </x:xf>
    <x:xf numFmtId="203" fontId="5" fillId="6" borderId="6" xfId="0" applyNumberFormat="1" applyFont="1" applyFill="1" applyBorder="1" applyAlignment="1">
      <x:alignment horizontal="center"/>
    </x:xf>
    <x:xf numFmtId="203" fontId="5" fillId="6" borderId="4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10" xfId="0" applyNumberFormat="1" applyFont="1" applyFill="1" applyBorder="1"/>
    <x:xf numFmtId="0" fontId="5" fillId="7" borderId="6" xfId="0" applyNumberFormat="1" applyFont="1" applyFill="1" applyBorder="1"/>
    <x:xf numFmtId="0" fontId="5" fillId="7" borderId="4" xfId="0" applyNumberFormat="1" applyFont="1" applyFill="1" applyBorder="1"/>
    <x:xf numFmtId="202" fontId="5" fillId="7" borderId="12" xfId="0" applyNumberFormat="1" applyFont="1" applyFill="1" applyBorder="1"/>
    <x:xf numFmtId="202" fontId="5" fillId="7" borderId="10" xfId="0" applyNumberFormat="1" applyFont="1" applyFill="1" applyBorder="1"/>
    <x:xf numFmtId="202" fontId="5" fillId="7" borderId="6" xfId="0" applyNumberFormat="1" applyFont="1" applyFill="1" applyBorder="1"/>
    <x:xf numFmtId="202" fontId="5" fillId="7" borderId="4" xfId="0" applyNumberFormat="1" applyFont="1" applyFill="1" applyBorder="1"/>
    <x:xf numFmtId="202" fontId="5" fillId="7" borderId="12" xfId="0" applyNumberFormat="1" applyFont="1" applyFill="1" applyBorder="1" applyAlignment="1">
      <x:alignment horizontal="center"/>
    </x:xf>
    <x:xf numFmtId="202" fontId="5" fillId="7" borderId="10" xfId="0" applyNumberFormat="1" applyFont="1" applyFill="1" applyBorder="1" applyAlignment="1">
      <x:alignment horizontal="center"/>
    </x:xf>
    <x:xf numFmtId="202" fontId="5" fillId="7" borderId="6" xfId="0" applyNumberFormat="1" applyFont="1" applyFill="1" applyBorder="1" applyAlignment="1">
      <x:alignment horizontal="center"/>
    </x:xf>
    <x:xf numFmtId="202" fontId="5" fillId="7" borderId="4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/>
    <x:xf numFmtId="0" fontId="5" fillId="8" borderId="12" xfId="0" applyNumberFormat="1" applyFont="1" applyFill="1" applyBorder="1"/>
    <x:xf numFmtId="0" fontId="5" fillId="8" borderId="10" xfId="0" applyNumberFormat="1" applyFont="1" applyFill="1" applyBorder="1"/>
    <x:xf numFmtId="0" fontId="5" fillId="8" borderId="6" xfId="0" applyNumberFormat="1" applyFont="1" applyFill="1" applyBorder="1"/>
    <x:xf numFmtId="0" fontId="5" fillId="8" borderId="4" xfId="0" applyNumberFormat="1" applyFont="1" applyFill="1" applyBorder="1"/>
    <x:xf numFmtId="204" fontId="5" fillId="8" borderId="12" xfId="0" applyNumberFormat="1" applyFont="1" applyFill="1" applyBorder="1"/>
    <x:xf numFmtId="204" fontId="5" fillId="8" borderId="10" xfId="0" applyNumberFormat="1" applyFont="1" applyFill="1" applyBorder="1"/>
    <x:xf numFmtId="204" fontId="5" fillId="8" borderId="6" xfId="0" applyNumberFormat="1" applyFont="1" applyFill="1" applyBorder="1"/>
    <x:xf numFmtId="204" fontId="5" fillId="8" borderId="4" xfId="0" applyNumberFormat="1" applyFont="1" applyFill="1" applyBorder="1"/>
    <x:xf numFmtId="204" fontId="5" fillId="8" borderId="12" xfId="0" applyNumberFormat="1" applyFont="1" applyFill="1" applyBorder="1" applyAlignment="1">
      <x:alignment horizontal="center"/>
    </x:xf>
    <x:xf numFmtId="204" fontId="5" fillId="8" borderId="10" xfId="0" applyNumberFormat="1" applyFont="1" applyFill="1" applyBorder="1" applyAlignment="1">
      <x:alignment horizontal="center"/>
    </x:xf>
    <x:xf numFmtId="204" fontId="5" fillId="8" borderId="6" xfId="0" applyNumberFormat="1" applyFont="1" applyFill="1" applyBorder="1" applyAlignment="1">
      <x:alignment horizontal="center"/>
    </x:xf>
    <x:xf numFmtId="204" fontId="5" fillId="8" borderId="4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203" fontId="0" fillId="0" borderId="17" xfId="0" applyNumberFormat="1" applyFont="1" applyFill="1" applyBorder="1"/>
    <x:xf numFmtId="0" fontId="0" fillId="0" borderId="6" xfId="0" applyNumberFormat="1" applyFont="1" applyFill="1" applyBorder="1"/>
    <x:xf numFmtId="203" fontId="0" fillId="0" borderId="18" xfId="0" applyNumberFormat="1" applyFont="1" applyFill="1" applyBorder="1"/>
    <x:xf numFmtId="203" fontId="0" fillId="0" borderId="4" xfId="0" applyNumberFormat="1" applyFont="1" applyFill="1" applyBorder="1"/>
    <x:xf numFmtId="0" fontId="6" fillId="3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3" fontId="10" fillId="5" borderId="12" xfId="0" applyNumberFormat="1" applyFont="1" applyFill="1" applyBorder="1" applyAlignment="1">
      <x:alignment horizontal="center"/>
    </x:xf>
    <x:xf numFmtId="203" fontId="10" fillId="5" borderId="10" xfId="0" applyNumberFormat="1" applyFont="1" applyFill="1" applyBorder="1" applyAlignment="1">
      <x:alignment horizontal="center"/>
    </x:xf>
    <x:xf numFmtId="203" fontId="10" fillId="6" borderId="12" xfId="0" applyNumberFormat="1" applyFont="1" applyFill="1" applyBorder="1" applyAlignment="1">
      <x:alignment horizontal="center"/>
    </x:xf>
    <x:xf numFmtId="203" fontId="10" fillId="6" borderId="10" xfId="0" applyNumberFormat="1" applyFont="1" applyFill="1" applyBorder="1" applyAlignment="1">
      <x:alignment horizontal="center"/>
    </x:xf>
    <x:xf numFmtId="202" fontId="10" fillId="7" borderId="12" xfId="0" applyNumberFormat="1" applyFont="1" applyFill="1" applyBorder="1" applyAlignment="1">
      <x:alignment horizontal="center"/>
    </x:xf>
    <x:xf numFmtId="202" fontId="10" fillId="7" borderId="10" xfId="0" applyNumberFormat="1" applyFont="1" applyFill="1" applyBorder="1" applyAlignment="1">
      <x:alignment horizontal="center"/>
    </x:xf>
    <x:xf numFmtId="204" fontId="10" fillId="8" borderId="12" xfId="0" applyNumberFormat="1" applyFont="1" applyFill="1" applyBorder="1" applyAlignment="1">
      <x:alignment horizontal="center"/>
    </x:xf>
    <x:xf numFmtId="204" fontId="10" fillId="8" borderId="10" xfId="0" applyNumberFormat="1" applyFont="1" applyFill="1" applyBorder="1" applyAlignment="1">
      <x:alignment horizontal="center"/>
    </x:xf>
    <x:xf numFmtId="203" fontId="10" fillId="5" borderId="6" xfId="0" applyNumberFormat="1" applyFont="1" applyFill="1" applyBorder="1" applyAlignment="1">
      <x:alignment horizontal="center"/>
    </x:xf>
    <x:xf numFmtId="203" fontId="10" fillId="5" borderId="4" xfId="0" applyNumberFormat="1" applyFont="1" applyFill="1" applyBorder="1" applyAlignment="1">
      <x:alignment horizontal="center"/>
    </x:xf>
    <x:xf numFmtId="203" fontId="10" fillId="6" borderId="6" xfId="0" applyNumberFormat="1" applyFont="1" applyFill="1" applyBorder="1" applyAlignment="1">
      <x:alignment horizontal="center"/>
    </x:xf>
    <x:xf numFmtId="203" fontId="10" fillId="6" borderId="4" xfId="0" applyNumberFormat="1" applyFont="1" applyFill="1" applyBorder="1" applyAlignment="1">
      <x:alignment horizontal="center"/>
    </x:xf>
    <x:xf numFmtId="202" fontId="10" fillId="7" borderId="6" xfId="0" applyNumberFormat="1" applyFont="1" applyFill="1" applyBorder="1" applyAlignment="1">
      <x:alignment horizontal="center"/>
    </x:xf>
    <x:xf numFmtId="202" fontId="10" fillId="7" borderId="4" xfId="0" applyNumberFormat="1" applyFont="1" applyFill="1" applyBorder="1" applyAlignment="1">
      <x:alignment horizontal="center"/>
    </x:xf>
    <x:xf numFmtId="204" fontId="10" fillId="8" borderId="6" xfId="0" applyNumberFormat="1" applyFont="1" applyFill="1" applyBorder="1" applyAlignment="1">
      <x:alignment horizontal="center"/>
    </x:xf>
    <x:xf numFmtId="204" fontId="10" fillId="8" borderId="4" xfId="0" applyNumberFormat="1" applyFont="1" applyFill="1" applyBorder="1" applyAlignment="1">
      <x:alignment horizontal="center"/>
    </x:xf>
    <x:xf numFmtId="0" fontId="6" fillId="2" borderId="13" xfId="0" applyNumberFormat="1" applyFont="1" applyFill="1" applyBorder="1" applyAlignment="1">
      <x:alignment horizontal="center" vertical="center" wrapText="1"/>
    </x:xf>
    <x:xf numFmtId="0" fontId="6" fillId="2" borderId="14" xfId="0" applyNumberFormat="1" applyFont="1" applyFill="1" applyBorder="1" applyAlignment="1">
      <x:alignment horizontal="center" vertical="center" wrapText="1"/>
    </x:xf>
    <x:xf numFmtId="0" fontId="6" fillId="2" borderId="15" xfId="0" applyNumberFormat="1" applyFont="1" applyFill="1" applyBorder="1" applyAlignment="1">
      <x:alignment horizontal="center" vertical="center" wrapText="1"/>
    </x:xf>
    <x:xf numFmtId="0" fontId="7" fillId="0" borderId="16" xfId="0" applyNumberFormat="1" applyFont="1" applyFill="1" applyBorder="1"/>
    <x:xf numFmtId="203" fontId="7" fillId="0" borderId="0" xfId="0" applyNumberFormat="1" applyFont="1" applyFill="1" applyBorder="1"/>
    <x:xf numFmtId="203" fontId="7" fillId="0" borderId="17" xfId="0" applyNumberFormat="1" applyFont="1" applyFill="1" applyBorder="1"/>
    <x:xf numFmtId="0" fontId="7" fillId="0" borderId="6" xfId="0" applyNumberFormat="1" applyFont="1" applyFill="1" applyBorder="1"/>
    <x:xf numFmtId="203" fontId="7" fillId="0" borderId="18" xfId="0" applyNumberFormat="1" applyFont="1" applyFill="1" applyBorder="1"/>
    <x:xf numFmtId="203" fontId="7" fillId="0" borderId="4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/>
    <x:xf numFmtId="0" fontId="7" fillId="0" borderId="5" xfId="0" applyNumberFormat="1" applyFont="1" applyFill="1" applyBorder="1"/>
    <x:xf numFmtId="200" fontId="7" fillId="0" borderId="5" xfId="0" applyNumberFormat="1" applyFont="1" applyFill="1" applyBorder="1"/>
    <x:xf numFmtId="202" fontId="7" fillId="0" borderId="6" xfId="0" applyNumberFormat="1" applyFont="1" applyFill="1" applyBorder="1"/>
    <x:xf numFmtId="201" fontId="7" fillId="0" borderId="7" xfId="0" applyNumberFormat="1" applyFont="1" applyFill="1" applyBorder="1"/>
    <x:xf numFmtId="0" fontId="7" fillId="0" borderId="8" xfId="0" applyNumberFormat="1" applyFont="1" applyFill="1" applyBorder="1"/>
    <x:xf numFmtId="200" fontId="7" fillId="0" borderId="8" xfId="0" applyNumberFormat="1" applyFont="1" applyFill="1" applyBorder="1"/>
    <x:xf numFmtId="202" fontId="7" fillId="0" borderId="9" xfId="0" applyNumberFormat="1" applyFont="1" applyFill="1" applyBorder="1"/>
    <x:xf numFmtId="201" fontId="7" fillId="0" borderId="10" xfId="0" applyNumberFormat="1" applyFont="1" applyFill="1" applyBorder="1"/>
    <x:xf numFmtId="0" fontId="7" fillId="0" borderId="11" xfId="0" applyNumberFormat="1" applyFont="1" applyFill="1" applyBorder="1"/>
    <x:xf numFmtId="200" fontId="7" fillId="0" borderId="11" xfId="0" applyNumberFormat="1" applyFont="1" applyFill="1" applyBorder="1"/>
    <x:xf numFmtId="202" fontId="7" fillId="0" borderId="12" xfId="0" applyNumberFormat="1" applyFont="1" applyFill="1" applyBorder="1"/>
    <x:xf numFmtId="200" fontId="7" fillId="0" borderId="0" xfId="0" applyNumberFormat="1" applyFont="1" applyFill="1" applyBorder="1"/>
    <x:xf numFmtId="0" fontId="11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8fb128f6b490f" /><Relationship Type="http://schemas.openxmlformats.org/officeDocument/2006/relationships/theme" Target="/xl/theme/theme1.xml" Id="R75a5d618dfa947c5" /><Relationship Type="http://schemas.openxmlformats.org/officeDocument/2006/relationships/sharedStrings" Target="/xl/sharedStrings.xml" Id="R423126f32c494fcb" /><Relationship Type="http://schemas.openxmlformats.org/officeDocument/2006/relationships/worksheet" Target="/xl/worksheets/sheet1.xml" Id="R8297373c5237451d" /><Relationship Type="http://schemas.openxmlformats.org/officeDocument/2006/relationships/worksheet" Target="/xl/worksheets/sheet2.xml" Id="R117ac64e094e4e9b" /><Relationship Type="http://schemas.openxmlformats.org/officeDocument/2006/relationships/worksheet" Target="/xl/worksheets/sheet3.xml" Id="R3143840d51564f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59fe9f2a2c49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Profit by Region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'Sales Summary'!$A$10:$A$13</c:f>
              <c:strCache>
                <c:ptCount val="0"/>
              </c:strCache>
            </c:strRef>
          </c:cat>
          <c:val>
            <c:numRef>
              <c:f>'Sales Summary'!$B$10:$B$13</c:f>
              <c:numCache>
                <c:formatCode>"$"#,##0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'Sales Summary'!$A$10:$A$13</c:f>
              <c:strCache>
                <c:ptCount val="0"/>
              </c:strCache>
            </c:strRef>
          </c:cat>
          <c:val>
            <c:numRef>
              <c:f>'Sales Summary'!$C$10:$C$13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59fe9f2a2c49c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egionalSalesTable" displayName="RegionalSalesTable" ref="A4:K16" headerRowCount="1" totalsRowCount="0" totalsRowShown="0">
  <x:tableColumns count="11">
    <x:tableColumn id="1" name="Order Date"/>
    <x:tableColumn id="2" name="Region"/>
    <x:tableColumn id="3" name="Channel"/>
    <x:tableColumn id="4" name="Product ID"/>
    <x:tableColumn id="5" name="Units"/>
    <x:tableColumn id="6" name="Unit Price"/>
    <x:tableColumn id="7" name="Unit Cost"/>
    <x:tableColumn id="8" name="Revenue"/>
    <x:tableColumn id="9" name="Cost"/>
    <x:tableColumn id="10" name="Profit"/>
    <x:tableColumn id="11" name="Marg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ductCatalogTable" displayName="ProductCatalogTable" ref="A1:D7" headerRowCount="1" totalsRowCount="0" totalsRowShown="0">
  <x:tableColumns count="4">
    <x:tableColumn id="1" name="Product ID"/>
    <x:tableColumn id="2" name="Product"/>
    <x:tableColumn id="3" name="Category"/>
    <x:tableColumn id="4" name="Unit Cos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45308823ef44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2107a4cbef4c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dacfff6f9848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158" t="str">
        <x:v>Sales Performance Summary</x:v>
      </x:c>
      <x:c r="B1" s="111"/>
      <x:c r="C1" s="111"/>
      <x:c r="D1" s="111"/>
      <x:c r="E1" s="111"/>
      <x:c r="F1" s="111"/>
      <x:c r="G1" s="111"/>
      <x:c r="H1" s="111"/>
    </x:row>
    <x:row r="2" ht="22" customHeight="1">
      <x:c r="A2" s="112" t="str">
        <x:v>Formula-driven regional rollup linked to the transaction sheet</x:v>
      </x:c>
      <x:c r="B2" s="111"/>
      <x:c r="C2" s="111"/>
      <x:c r="D2" s="111"/>
      <x:c r="E2" s="111"/>
      <x:c r="F2" s="111"/>
      <x:c r="G2" s="111"/>
      <x:c r="H2" s="111"/>
    </x:row>
    <x:row r="3">
      <x:c r="A3" s="111"/>
      <x:c r="B3" s="111"/>
      <x:c r="C3" s="111"/>
      <x:c r="D3" s="111"/>
      <x:c r="E3" s="111"/>
      <x:c r="F3" s="111"/>
      <x:c r="G3" s="111"/>
      <x:c r="H3" s="111"/>
    </x:row>
    <x:row r="4">
      <x:c r="A4" s="113" t="str">
        <x:v>Total revenue</x:v>
      </x:c>
      <x:c r="B4" s="113" t="str">
        <x:v>Total revenue</x:v>
      </x:c>
      <x:c r="C4" s="114" t="str">
        <x:v>Total profit</x:v>
      </x:c>
      <x:c r="D4" s="114" t="str">
        <x:v>Total profit</x:v>
      </x:c>
      <x:c r="E4" s="115" t="str">
        <x:v>Average margin</x:v>
      </x:c>
      <x:c r="F4" s="115" t="str">
        <x:v>Average margin</x:v>
      </x:c>
      <x:c r="G4" s="116" t="str">
        <x:v>Orders</x:v>
      </x:c>
      <x:c r="H4" s="116" t="str">
        <x:v>Orders</x:v>
      </x:c>
    </x:row>
    <x:row r="5">
      <x:c r="A5" s="117" t="n">
        <x:f>SUM('Sales Data'!H5:H16)</x:f>
        <x:v>19227</x:v>
      </x:c>
      <x:c r="B5" s="118"/>
      <x:c r="C5" s="119" t="n">
        <x:f>SUM('Sales Data'!J5:J16)</x:f>
        <x:v>11380</x:v>
      </x:c>
      <x:c r="D5" s="120"/>
      <x:c r="E5" s="121" t="n">
        <x:f>AVERAGE('Sales Data'!K5:K16)</x:f>
        <x:v>0.5982643591380107</x:v>
      </x:c>
      <x:c r="F5" s="122"/>
      <x:c r="G5" s="123" t="n">
        <x:f>COUNTA('Sales Data'!A5:A16)</x:f>
        <x:v>12</x:v>
      </x:c>
      <x:c r="H5" s="124"/>
    </x:row>
    <x:row r="6">
      <x:c r="A6" s="125"/>
      <x:c r="B6" s="126"/>
      <x:c r="C6" s="127"/>
      <x:c r="D6" s="128"/>
      <x:c r="E6" s="129"/>
      <x:c r="F6" s="130"/>
      <x:c r="G6" s="131"/>
      <x:c r="H6" s="132"/>
    </x:row>
    <x:row r="7">
      <x:c r="A7" s="111"/>
      <x:c r="B7" s="111"/>
      <x:c r="C7" s="111"/>
      <x:c r="D7" s="111"/>
      <x:c r="E7" s="111"/>
      <x:c r="F7" s="111"/>
      <x:c r="G7" s="111"/>
      <x:c r="H7" s="111"/>
    </x:row>
    <x:row r="8">
      <x:c r="A8" s="111"/>
      <x:c r="B8" s="111"/>
      <x:c r="C8" s="111"/>
      <x:c r="D8" s="111"/>
      <x:c r="E8" s="111"/>
      <x:c r="F8" s="111"/>
      <x:c r="G8" s="111"/>
      <x:c r="H8" s="111"/>
    </x:row>
    <x:row r="9" ht="28" customHeight="1">
      <x:c r="A9" s="133" t="str">
        <x:v>Region</x:v>
      </x:c>
      <x:c r="B9" s="134" t="str">
        <x:v>Revenue</x:v>
      </x:c>
      <x:c r="C9" s="135" t="str">
        <x:v>Profit</x:v>
      </x:c>
      <x:c r="D9" s="111"/>
      <x:c r="E9" s="111"/>
      <x:c r="F9" s="111"/>
      <x:c r="G9" s="111"/>
      <x:c r="H9" s="111"/>
    </x:row>
    <x:row r="10">
      <x:c r="A10" s="136" t="str">
        <x:v>North</x:v>
      </x:c>
      <x:c r="B10" s="137" t="n">
        <x:f>SUMIF('Sales Data'!$B$5:$B$16,A10,'Sales Data'!$H$5:$H$16)</x:f>
        <x:v>4884</x:v>
      </x:c>
      <x:c r="C10" s="138" t="n">
        <x:f>SUMIF('Sales Data'!$B$5:$B$16,A10,'Sales Data'!$J$5:$J$16)</x:f>
        <x:v>2936</x:v>
      </x:c>
      <x:c r="D10" s="111"/>
      <x:c r="E10" s="111"/>
      <x:c r="F10" s="111"/>
      <x:c r="G10" s="111"/>
      <x:c r="H10" s="111"/>
    </x:row>
    <x:row r="11">
      <x:c r="A11" s="136" t="str">
        <x:v>South</x:v>
      </x:c>
      <x:c r="B11" s="137" t="n">
        <x:f>SUMIF('Sales Data'!$B$5:$B$16,A11,'Sales Data'!$H$5:$H$16)</x:f>
        <x:v>4525</x:v>
      </x:c>
      <x:c r="C11" s="138" t="n">
        <x:f>SUMIF('Sales Data'!$B$5:$B$16,A11,'Sales Data'!$J$5:$J$16)</x:f>
        <x:v>2693</x:v>
      </x:c>
      <x:c r="D11" s="111"/>
      <x:c r="E11" s="111"/>
      <x:c r="F11" s="111"/>
      <x:c r="G11" s="111"/>
      <x:c r="H11" s="111"/>
    </x:row>
    <x:row r="12">
      <x:c r="A12" s="136" t="str">
        <x:v>East</x:v>
      </x:c>
      <x:c r="B12" s="137" t="n">
        <x:f>SUMIF('Sales Data'!$B$5:$B$16,A12,'Sales Data'!$H$5:$H$16)</x:f>
        <x:v>5358</x:v>
      </x:c>
      <x:c r="C12" s="138" t="n">
        <x:f>SUMIF('Sales Data'!$B$5:$B$16,A12,'Sales Data'!$J$5:$J$16)</x:f>
        <x:v>3154</x:v>
      </x:c>
      <x:c r="D12" s="111"/>
      <x:c r="E12" s="111"/>
      <x:c r="F12" s="111"/>
      <x:c r="G12" s="111"/>
      <x:c r="H12" s="111"/>
    </x:row>
    <x:row r="13">
      <x:c r="A13" s="139" t="str">
        <x:v>West</x:v>
      </x:c>
      <x:c r="B13" s="140" t="n">
        <x:f>SUMIF('Sales Data'!$B$5:$B$16,A13,'Sales Data'!$H$5:$H$16)</x:f>
        <x:v>4460</x:v>
      </x:c>
      <x:c r="C13" s="141" t="n">
        <x:f>SUMIF('Sales Data'!$B$5:$B$16,A13,'Sales Data'!$J$5:$J$16)</x:f>
        <x:v>2597</x:v>
      </x:c>
      <x:c r="D13" s="111"/>
      <x:c r="E13" s="111"/>
      <x:c r="F13" s="111"/>
      <x:c r="G13" s="111"/>
      <x:c r="H13" s="111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</x:mergeCells>
  <x:pageMargins left="0.7" right="0.7" top="0.75" bottom="0.75" header="0.3" footer="0.3"/>
  <x:drawing xmlns:r="http://schemas.openxmlformats.org/officeDocument/2006/relationships" r:id="R2645308823ef44e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30" customHeight="1">
      <x:c r="A1" s="158" t="str">
        <x:v>Regional Sales Transactions</x:v>
      </x:c>
      <x:c r="B1" s="111"/>
      <x:c r="C1" s="111"/>
      <x:c r="D1" s="111"/>
      <x:c r="E1" s="111"/>
      <x:c r="F1" s="111"/>
      <x:c r="G1" s="111"/>
      <x:c r="H1" s="111"/>
      <x:c r="I1" s="111"/>
      <x:c r="J1" s="111"/>
      <x:c r="K1" s="111"/>
    </x:row>
    <x:row r="2" ht="22" customHeight="1">
      <x:c r="A2" s="112" t="str">
        <x:v>Level 2 · multi-sheet model with lookup formulas, validation, conditional formatting, and a chart</x:v>
      </x:c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</x:row>
    <x:row r="3">
      <x:c r="A3" s="111"/>
      <x:c r="B3" s="111"/>
      <x:c r="C3" s="111"/>
      <x:c r="D3" s="111"/>
      <x:c r="E3" s="111"/>
      <x:c r="F3" s="111"/>
      <x:c r="G3" s="111"/>
      <x:c r="H3" s="111"/>
      <x:c r="I3" s="111"/>
      <x:c r="J3" s="111"/>
      <x:c r="K3" s="111"/>
    </x:row>
    <x:row r="4" ht="28" customHeight="1">
      <x:c r="A4" s="142" t="str">
        <x:v>Order Date</x:v>
      </x:c>
      <x:c r="B4" s="143" t="str">
        <x:v>Region</x:v>
      </x:c>
      <x:c r="C4" s="143" t="str">
        <x:v>Channel</x:v>
      </x:c>
      <x:c r="D4" s="143" t="str">
        <x:v>Product ID</x:v>
      </x:c>
      <x:c r="E4" s="143" t="str">
        <x:v>Units</x:v>
      </x:c>
      <x:c r="F4" s="143" t="str">
        <x:v>Unit Price</x:v>
      </x:c>
      <x:c r="G4" s="143" t="str">
        <x:v>Unit Cost</x:v>
      </x:c>
      <x:c r="H4" s="143" t="str">
        <x:v>Revenue</x:v>
      </x:c>
      <x:c r="I4" s="143" t="str">
        <x:v>Cost</x:v>
      </x:c>
      <x:c r="J4" s="143" t="str">
        <x:v>Profit</x:v>
      </x:c>
      <x:c r="K4" s="144" t="str">
        <x:v>Margin</x:v>
      </x:c>
    </x:row>
    <x:row r="5">
      <x:c r="A5" s="145" t="n">
        <x:v>46027</x:v>
      </x:c>
      <x:c r="B5" s="146" t="str">
        <x:v>North</x:v>
      </x:c>
      <x:c r="C5" s="146" t="str">
        <x:v>Direct</x:v>
      </x:c>
      <x:c r="D5" s="146" t="str">
        <x:v>P-101</x:v>
      </x:c>
      <x:c r="E5" s="146" t="n">
        <x:v>28</x:v>
      </x:c>
      <x:c r="F5" s="147" t="n">
        <x:v>55</x:v>
      </x:c>
      <x:c r="G5" s="147" t="n">
        <x:f>VLOOKUP(D5,'Products'!$A$2:$D$7,4,FALSE)</x:f>
        <x:v>22</x:v>
      </x:c>
      <x:c r="H5" s="147" t="n">
        <x:f>E5*F5</x:f>
        <x:v>1540</x:v>
      </x:c>
      <x:c r="I5" s="147" t="n">
        <x:f>E5*G5</x:f>
        <x:v>616</x:v>
      </x:c>
      <x:c r="J5" s="147" t="n">
        <x:f>H5-I5</x:f>
        <x:v>924</x:v>
      </x:c>
      <x:c r="K5" s="148" t="n">
        <x:f>IFERROR(J5/H5,0)</x:f>
        <x:v>0.6</x:v>
      </x:c>
    </x:row>
    <x:row r="6">
      <x:c r="A6" s="149" t="n">
        <x:v>46034</x:v>
      </x:c>
      <x:c r="B6" s="150" t="str">
        <x:v>South</x:v>
      </x:c>
      <x:c r="C6" s="150" t="str">
        <x:v>Partner</x:v>
      </x:c>
      <x:c r="D6" s="150" t="str">
        <x:v>P-102</x:v>
      </x:c>
      <x:c r="E6" s="150" t="n">
        <x:v>14</x:v>
      </x:c>
      <x:c r="F6" s="151" t="n">
        <x:v>115</x:v>
      </x:c>
      <x:c r="G6" s="151" t="n">
        <x:f>VLOOKUP(D6,'Products'!$A$2:$D$7,4,FALSE)</x:f>
        <x:v>48</x:v>
      </x:c>
      <x:c r="H6" s="151" t="n">
        <x:f>E6*F6</x:f>
        <x:v>1610</x:v>
      </x:c>
      <x:c r="I6" s="151" t="n">
        <x:f>E6*G6</x:f>
        <x:v>672</x:v>
      </x:c>
      <x:c r="J6" s="151" t="n">
        <x:f>H6-I6</x:f>
        <x:v>938</x:v>
      </x:c>
      <x:c r="K6" s="152" t="n">
        <x:f>IFERROR(J6/H6,0)</x:f>
        <x:v>0.5826086956521739</x:v>
      </x:c>
    </x:row>
    <x:row r="7">
      <x:c r="A7" s="149" t="n">
        <x:v>46041</x:v>
      </x:c>
      <x:c r="B7" s="150" t="str">
        <x:v>East</x:v>
      </x:c>
      <x:c r="C7" s="150" t="str">
        <x:v>Online</x:v>
      </x:c>
      <x:c r="D7" s="150" t="str">
        <x:v>P-103</x:v>
      </x:c>
      <x:c r="E7" s="150" t="n">
        <x:v>32</x:v>
      </x:c>
      <x:c r="F7" s="151" t="n">
        <x:v>49</x:v>
      </x:c>
      <x:c r="G7" s="151" t="n">
        <x:f>VLOOKUP(D7,'Products'!$A$2:$D$7,4,FALSE)</x:f>
        <x:v>18</x:v>
      </x:c>
      <x:c r="H7" s="151" t="n">
        <x:f>E7*F7</x:f>
        <x:v>1568</x:v>
      </x:c>
      <x:c r="I7" s="151" t="n">
        <x:f>E7*G7</x:f>
        <x:v>576</x:v>
      </x:c>
      <x:c r="J7" s="151" t="n">
        <x:f>H7-I7</x:f>
        <x:v>992</x:v>
      </x:c>
      <x:c r="K7" s="152" t="n">
        <x:f>IFERROR(J7/H7,0)</x:f>
        <x:v>0.6326530612244898</x:v>
      </x:c>
    </x:row>
    <x:row r="8">
      <x:c r="A8" s="149" t="n">
        <x:v>46056</x:v>
      </x:c>
      <x:c r="B8" s="150" t="str">
        <x:v>West</x:v>
      </x:c>
      <x:c r="C8" s="150" t="str">
        <x:v>Direct</x:v>
      </x:c>
      <x:c r="D8" s="150" t="str">
        <x:v>P-104</x:v>
      </x:c>
      <x:c r="E8" s="150" t="n">
        <x:v>11</x:v>
      </x:c>
      <x:c r="F8" s="151" t="n">
        <x:v>95</x:v>
      </x:c>
      <x:c r="G8" s="151" t="n">
        <x:f>VLOOKUP(D8,'Products'!$A$2:$D$7,4,FALSE)</x:f>
        <x:v>30</x:v>
      </x:c>
      <x:c r="H8" s="151" t="n">
        <x:f>E8*F8</x:f>
        <x:v>1045</x:v>
      </x:c>
      <x:c r="I8" s="151" t="n">
        <x:f>E8*G8</x:f>
        <x:v>330</x:v>
      </x:c>
      <x:c r="J8" s="151" t="n">
        <x:f>H8-I8</x:f>
        <x:v>715</x:v>
      </x:c>
      <x:c r="K8" s="152" t="n">
        <x:f>IFERROR(J8/H8,0)</x:f>
        <x:v>0.6842105263157895</x:v>
      </x:c>
    </x:row>
    <x:row r="9">
      <x:c r="A9" s="149" t="n">
        <x:v>46067</x:v>
      </x:c>
      <x:c r="B9" s="150" t="str">
        <x:v>North</x:v>
      </x:c>
      <x:c r="C9" s="150" t="str">
        <x:v>Online</x:v>
      </x:c>
      <x:c r="D9" s="150" t="str">
        <x:v>P-102</x:v>
      </x:c>
      <x:c r="E9" s="150" t="n">
        <x:v>18</x:v>
      </x:c>
      <x:c r="F9" s="151" t="n">
        <x:v>115</x:v>
      </x:c>
      <x:c r="G9" s="151" t="n">
        <x:f>VLOOKUP(D9,'Products'!$A$2:$D$7,4,FALSE)</x:f>
        <x:v>48</x:v>
      </x:c>
      <x:c r="H9" s="151" t="n">
        <x:f>E9*F9</x:f>
        <x:v>2070</x:v>
      </x:c>
      <x:c r="I9" s="151" t="n">
        <x:f>E9*G9</x:f>
        <x:v>864</x:v>
      </x:c>
      <x:c r="J9" s="151" t="n">
        <x:f>H9-I9</x:f>
        <x:v>1206</x:v>
      </x:c>
      <x:c r="K9" s="152" t="n">
        <x:f>IFERROR(J9/H9,0)</x:f>
        <x:v>0.5826086956521739</x:v>
      </x:c>
    </x:row>
    <x:row r="10">
      <x:c r="A10" s="149" t="n">
        <x:v>46075</x:v>
      </x:c>
      <x:c r="B10" s="150" t="str">
        <x:v>South</x:v>
      </x:c>
      <x:c r="C10" s="150" t="str">
        <x:v>Direct</x:v>
      </x:c>
      <x:c r="D10" s="150" t="str">
        <x:v>P-105</x:v>
      </x:c>
      <x:c r="E10" s="150" t="n">
        <x:v>7</x:v>
      </x:c>
      <x:c r="F10" s="151" t="n">
        <x:v>240</x:v>
      </x:c>
      <x:c r="G10" s="151" t="n">
        <x:f>VLOOKUP(D10,'Products'!$A$2:$D$7,4,FALSE)</x:f>
        <x:v>110</x:v>
      </x:c>
      <x:c r="H10" s="151" t="n">
        <x:f>E10*F10</x:f>
        <x:v>1680</x:v>
      </x:c>
      <x:c r="I10" s="151" t="n">
        <x:f>E10*G10</x:f>
        <x:v>770</x:v>
      </x:c>
      <x:c r="J10" s="151" t="n">
        <x:f>H10-I10</x:f>
        <x:v>910</x:v>
      </x:c>
      <x:c r="K10" s="152" t="n">
        <x:f>IFERROR(J10/H10,0)</x:f>
        <x:v>0.5416666666666666</x:v>
      </x:c>
    </x:row>
    <x:row r="11">
      <x:c r="A11" s="149" t="n">
        <x:v>46083</x:v>
      </x:c>
      <x:c r="B11" s="150" t="str">
        <x:v>East</x:v>
      </x:c>
      <x:c r="C11" s="150" t="str">
        <x:v>Partner</x:v>
      </x:c>
      <x:c r="D11" s="150" t="str">
        <x:v>P-101</x:v>
      </x:c>
      <x:c r="E11" s="150" t="n">
        <x:v>34</x:v>
      </x:c>
      <x:c r="F11" s="151" t="n">
        <x:v>55</x:v>
      </x:c>
      <x:c r="G11" s="151" t="n">
        <x:f>VLOOKUP(D11,'Products'!$A$2:$D$7,4,FALSE)</x:f>
        <x:v>22</x:v>
      </x:c>
      <x:c r="H11" s="151" t="n">
        <x:f>E11*F11</x:f>
        <x:v>1870</x:v>
      </x:c>
      <x:c r="I11" s="151" t="n">
        <x:f>E11*G11</x:f>
        <x:v>748</x:v>
      </x:c>
      <x:c r="J11" s="151" t="n">
        <x:f>H11-I11</x:f>
        <x:v>1122</x:v>
      </x:c>
      <x:c r="K11" s="152" t="n">
        <x:f>IFERROR(J11/H11,0)</x:f>
        <x:v>0.6</x:v>
      </x:c>
    </x:row>
    <x:row r="12">
      <x:c r="A12" s="149" t="n">
        <x:v>46092</x:v>
      </x:c>
      <x:c r="B12" s="150" t="str">
        <x:v>West</x:v>
      </x:c>
      <x:c r="C12" s="150" t="str">
        <x:v>Online</x:v>
      </x:c>
      <x:c r="D12" s="150" t="str">
        <x:v>P-106</x:v>
      </x:c>
      <x:c r="E12" s="150" t="n">
        <x:v>9</x:v>
      </x:c>
      <x:c r="F12" s="151" t="n">
        <x:v>175</x:v>
      </x:c>
      <x:c r="G12" s="151" t="n">
        <x:f>VLOOKUP(D12,'Products'!$A$2:$D$7,4,FALSE)</x:f>
        <x:v>85</x:v>
      </x:c>
      <x:c r="H12" s="151" t="n">
        <x:f>E12*F12</x:f>
        <x:v>1575</x:v>
      </x:c>
      <x:c r="I12" s="151" t="n">
        <x:f>E12*G12</x:f>
        <x:v>765</x:v>
      </x:c>
      <x:c r="J12" s="151" t="n">
        <x:f>H12-I12</x:f>
        <x:v>810</x:v>
      </x:c>
      <x:c r="K12" s="152" t="n">
        <x:f>IFERROR(J12/H12,0)</x:f>
        <x:v>0.5142857142857142</x:v>
      </x:c>
    </x:row>
    <x:row r="13">
      <x:c r="A13" s="149" t="n">
        <x:v>46100</x:v>
      </x:c>
      <x:c r="B13" s="150" t="str">
        <x:v>North</x:v>
      </x:c>
      <x:c r="C13" s="150" t="str">
        <x:v>Partner</x:v>
      </x:c>
      <x:c r="D13" s="150" t="str">
        <x:v>P-103</x:v>
      </x:c>
      <x:c r="E13" s="150" t="n">
        <x:v>26</x:v>
      </x:c>
      <x:c r="F13" s="151" t="n">
        <x:v>49</x:v>
      </x:c>
      <x:c r="G13" s="151" t="n">
        <x:f>VLOOKUP(D13,'Products'!$A$2:$D$7,4,FALSE)</x:f>
        <x:v>18</x:v>
      </x:c>
      <x:c r="H13" s="151" t="n">
        <x:f>E13*F13</x:f>
        <x:v>1274</x:v>
      </x:c>
      <x:c r="I13" s="151" t="n">
        <x:f>E13*G13</x:f>
        <x:v>468</x:v>
      </x:c>
      <x:c r="J13" s="151" t="n">
        <x:f>H13-I13</x:f>
        <x:v>806</x:v>
      </x:c>
      <x:c r="K13" s="152" t="n">
        <x:f>IFERROR(J13/H13,0)</x:f>
        <x:v>0.6326530612244898</x:v>
      </x:c>
    </x:row>
    <x:row r="14">
      <x:c r="A14" s="149" t="n">
        <x:v>46116</x:v>
      </x:c>
      <x:c r="B14" s="150" t="str">
        <x:v>South</x:v>
      </x:c>
      <x:c r="C14" s="150" t="str">
        <x:v>Online</x:v>
      </x:c>
      <x:c r="D14" s="150" t="str">
        <x:v>P-104</x:v>
      </x:c>
      <x:c r="E14" s="150" t="n">
        <x:v>13</x:v>
      </x:c>
      <x:c r="F14" s="151" t="n">
        <x:v>95</x:v>
      </x:c>
      <x:c r="G14" s="151" t="n">
        <x:f>VLOOKUP(D14,'Products'!$A$2:$D$7,4,FALSE)</x:f>
        <x:v>30</x:v>
      </x:c>
      <x:c r="H14" s="151" t="n">
        <x:f>E14*F14</x:f>
        <x:v>1235</x:v>
      </x:c>
      <x:c r="I14" s="151" t="n">
        <x:f>E14*G14</x:f>
        <x:v>390</x:v>
      </x:c>
      <x:c r="J14" s="151" t="n">
        <x:f>H14-I14</x:f>
        <x:v>845</x:v>
      </x:c>
      <x:c r="K14" s="152" t="n">
        <x:f>IFERROR(J14/H14,0)</x:f>
        <x:v>0.6842105263157895</x:v>
      </x:c>
    </x:row>
    <x:row r="15">
      <x:c r="A15" s="149" t="n">
        <x:v>46127</x:v>
      </x:c>
      <x:c r="B15" s="150" t="str">
        <x:v>East</x:v>
      </x:c>
      <x:c r="C15" s="150" t="str">
        <x:v>Direct</x:v>
      </x:c>
      <x:c r="D15" s="150" t="str">
        <x:v>P-105</x:v>
      </x:c>
      <x:c r="E15" s="150" t="n">
        <x:v>8</x:v>
      </x:c>
      <x:c r="F15" s="151" t="n">
        <x:v>240</x:v>
      </x:c>
      <x:c r="G15" s="151" t="n">
        <x:f>VLOOKUP(D15,'Products'!$A$2:$D$7,4,FALSE)</x:f>
        <x:v>110</x:v>
      </x:c>
      <x:c r="H15" s="151" t="n">
        <x:f>E15*F15</x:f>
        <x:v>1920</x:v>
      </x:c>
      <x:c r="I15" s="151" t="n">
        <x:f>E15*G15</x:f>
        <x:v>880</x:v>
      </x:c>
      <x:c r="J15" s="151" t="n">
        <x:f>H15-I15</x:f>
        <x:v>1040</x:v>
      </x:c>
      <x:c r="K15" s="152" t="n">
        <x:f>IFERROR(J15/H15,0)</x:f>
        <x:v>0.5416666666666666</x:v>
      </x:c>
    </x:row>
    <x:row r="16">
      <x:c r="A16" s="153" t="n">
        <x:v>46138</x:v>
      </x:c>
      <x:c r="B16" s="154" t="str">
        <x:v>West</x:v>
      </x:c>
      <x:c r="C16" s="154" t="str">
        <x:v>Partner</x:v>
      </x:c>
      <x:c r="D16" s="154" t="str">
        <x:v>P-102</x:v>
      </x:c>
      <x:c r="E16" s="154" t="n">
        <x:v>16</x:v>
      </x:c>
      <x:c r="F16" s="155" t="n">
        <x:v>115</x:v>
      </x:c>
      <x:c r="G16" s="155" t="n">
        <x:f>VLOOKUP(D16,'Products'!$A$2:$D$7,4,FALSE)</x:f>
        <x:v>48</x:v>
      </x:c>
      <x:c r="H16" s="155" t="n">
        <x:f>E16*F16</x:f>
        <x:v>1840</x:v>
      </x:c>
      <x:c r="I16" s="155" t="n">
        <x:f>E16*G16</x:f>
        <x:v>768</x:v>
      </x:c>
      <x:c r="J16" s="155" t="n">
        <x:f>H16-I16</x:f>
        <x:v>1072</x:v>
      </x:c>
      <x:c r="K16" s="156" t="n">
        <x:f>IFERROR(J16/H16,0)</x:f>
        <x:v>0.5826086956521739</x:v>
      </x:c>
    </x:row>
  </x:sheetData>
  <x:mergeCells>
    <x:mergeCell ref="A1:K1"/>
    <x:mergeCell ref="A2:K2"/>
  </x:mergeCells>
  <x:conditionalFormatting sqref="K5:K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5:J16">
    <x:cfRule type="cellIs" dxfId="0" priority="2" operator="lessThan">
      <x:formula>0</x:formula>
    </x:cfRule>
  </x:conditionalFormatting>
  <x:dataValidations count="2">
    <x:dataValidation type="list" sqref="B5:B100">
      <x:formula1>"North,South,East,West"</x:formula1>
    </x:dataValidation>
    <x:dataValidation type="list" sqref="C5:C100">
      <x:formula1>"Direct,Partner,Online"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2107a4cbef4c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</x:cols>
  <x:sheetData>
    <x:row r="1" ht="28" customHeight="1">
      <x:c r="A1" s="142" t="str">
        <x:v>Product ID</x:v>
      </x:c>
      <x:c r="B1" s="143" t="str">
        <x:v>Product</x:v>
      </x:c>
      <x:c r="C1" s="143" t="str">
        <x:v>Category</x:v>
      </x:c>
      <x:c r="D1" s="144" t="str">
        <x:v>Unit Cost</x:v>
      </x:c>
    </x:row>
    <x:row r="2">
      <x:c r="A2" s="111" t="str">
        <x:v>P-101</x:v>
      </x:c>
      <x:c r="B2" s="111" t="str">
        <x:v>Cloud Starter</x:v>
      </x:c>
      <x:c r="C2" s="111" t="str">
        <x:v>Subscription</x:v>
      </x:c>
      <x:c r="D2" s="157" t="n">
        <x:v>22</x:v>
      </x:c>
    </x:row>
    <x:row r="3">
      <x:c r="A3" s="111" t="str">
        <x:v>P-102</x:v>
      </x:c>
      <x:c r="B3" s="111" t="str">
        <x:v>Cloud Pro</x:v>
      </x:c>
      <x:c r="C3" s="111" t="str">
        <x:v>Subscription</x:v>
      </x:c>
      <x:c r="D3" s="157" t="n">
        <x:v>48</x:v>
      </x:c>
    </x:row>
    <x:row r="4">
      <x:c r="A4" s="111" t="str">
        <x:v>P-103</x:v>
      </x:c>
      <x:c r="B4" s="111" t="str">
        <x:v>Analytics Add-on</x:v>
      </x:c>
      <x:c r="C4" s="111" t="str">
        <x:v>Add-on</x:v>
      </x:c>
      <x:c r="D4" s="157" t="n">
        <x:v>18</x:v>
      </x:c>
    </x:row>
    <x:row r="5">
      <x:c r="A5" s="111" t="str">
        <x:v>P-104</x:v>
      </x:c>
      <x:c r="B5" s="111" t="str">
        <x:v>Support Plus</x:v>
      </x:c>
      <x:c r="C5" s="111" t="str">
        <x:v>Service</x:v>
      </x:c>
      <x:c r="D5" s="157" t="n">
        <x:v>30</x:v>
      </x:c>
    </x:row>
    <x:row r="6">
      <x:c r="A6" s="111" t="str">
        <x:v>P-105</x:v>
      </x:c>
      <x:c r="B6" s="111" t="str">
        <x:v>Migration Pack</x:v>
      </x:c>
      <x:c r="C6" s="111" t="str">
        <x:v>Service</x:v>
      </x:c>
      <x:c r="D6" s="157" t="n">
        <x:v>110</x:v>
      </x:c>
    </x:row>
    <x:row r="7">
      <x:c r="A7" s="111" t="str">
        <x:v>P-106</x:v>
      </x:c>
      <x:c r="B7" s="111" t="str">
        <x:v>Training Bundle</x:v>
      </x:c>
      <x:c r="C7" s="111" t="str">
        <x:v>Service</x:v>
      </x:c>
      <x:c r="D7" s="157" t="n">
        <x:v>85</x:v>
      </x:c>
    </x:row>
  </x:sheetData>
  <x:pageMargins left="0.7" right="0.7" top="0.75" bottom="0.75" header="0.3" footer="0.3"/>
  <x:tableParts count="1">
    <x:tablePart xmlns:r="http://schemas.openxmlformats.org/officeDocument/2006/relationships" r:id="R7adacfff6f984817"/>
  </x:tableParts>
</x:worksheet>
</file>