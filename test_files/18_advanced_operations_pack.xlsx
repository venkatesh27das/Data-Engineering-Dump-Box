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7d6331231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5608f487a9184b2a"/>
    <x:sheet xmlns:r="http://schemas.openxmlformats.org/officeDocument/2006/relationships" name="Operations Data" sheetId="2" r:id="Rea2e213abab540bb"/>
    <x:sheet xmlns:r="http://schemas.openxmlformats.org/officeDocument/2006/relationships" name="Project Intake Form" sheetId="3" r:id="R169fe919284c4c7e"/>
    <x:sheet xmlns:r="http://schemas.openxmlformats.org/officeDocument/2006/relationships" name="Quarterly Blocks" sheetId="4" r:id="R603bba3beb884fd3"/>
    <x:sheet xmlns:r="http://schemas.openxmlformats.org/officeDocument/2006/relationships" name="Image Evidence" sheetId="5" r:id="R14c24e39e1e14a4b"/>
    <x:sheet xmlns:r="http://schemas.openxmlformats.org/officeDocument/2006/relationships" name="Lookup &amp; Rules" sheetId="6" r:id="R3270bbbd1ada49db"/>
  </x:sheets>
</x:workbook>
</file>

<file path=xl/comments1.xml><?xml version="1.0" encoding="utf-8"?>
<x:comments xmlns:x="http://schemas.openxmlformats.org/spreadsheetml/2006/main">
  <x:authors>
    <x:author>tc={8B0807B0-EA59-F8C2-B969-E0D83909D121}</x:author>
  </x:authors>
  <x:commentList>
    <x:comment ref="A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Portfolio budget is calculated from the Operations Data sheet.</x:t>
        </x:r>
      </x:text>
    </x:comment>
  </x:commentList>
</x:comments>
</file>

<file path=xl/comments2.xml><?xml version="1.0" encoding="utf-8"?>
<x:comments xmlns:x="http://schemas.openxmlformats.org/spreadsheetml/2006/main">
  <x:authors>
    <x:author>tc={C3AC6785-754C-77CD-7853-9D4C77E7ECCB}</x:author>
  </x:authors>
  <x:commentList>
    <x:comment ref="C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Free-text field intentionally spans multiple merged cells for extraction testing.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yyyy-mm-dd"/>
    <x:numFmt numFmtId="202" formatCode="&quot;$&quot;#,##0"/>
    <x:numFmt numFmtId="203" formatCode="0.0%"/>
    <x:numFmt numFmtId="204" formatCode="&quot;$&quot;#,##0,,&quot;M&quot;"/>
    <x:numFmt numFmtId="205" formatCode="0"/>
  </x:numFmts>
  <x:fonts count="20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1"/>
      <x:color rgb="FF15324A"/>
      <x:name val="Carlito"/>
    </x:font>
    <x:font>
      <x:sz val="11"/>
      <x:color rgb="FF15324A"/>
      <x:name val="Carlito"/>
    </x:font>
    <x:font>
      <x:b/>
      <x:sz val="13"/>
      <x:color rgb="FFFFFFFF"/>
      <x:name val="Carlito"/>
    </x:font>
    <x:font>
      <x:b/>
      <x:sz val="10"/>
      <x:color rgb="FF475569"/>
      <x:name val="Carlito"/>
    </x:font>
    <x:font>
      <x:b/>
      <x:sz val="16"/>
      <x:color rgb="FF15324A"/>
      <x:name val="Carlito"/>
    </x:font>
    <x:font>
      <x:i/>
      <x:sz val="11"/>
      <x:color rgb="FF15324A"/>
      <x:name val="Carlito"/>
    </x:font>
    <x:font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475569"/>
      <x:name val="Aptos"/>
    </x:font>
    <x:font>
      <x:b/>
      <x:sz val="10"/>
      <x:color rgb="FF475569"/>
      <x:name val="Aptos"/>
    </x:font>
    <x:font>
      <x:b/>
      <x:sz val="10"/>
      <x:color rgb="FF15324A"/>
      <x:name val="Aptos"/>
    </x:font>
    <x:font>
      <x:sz val="10"/>
      <x:color rgb="FF15324A"/>
      <x:name val="Aptos"/>
    </x:font>
    <x:font>
      <x:i/>
      <x:sz val="10"/>
      <x:color rgb="FF15324A"/>
      <x:name val="Aptos"/>
    </x:font>
    <x:font>
      <x:sz val="10"/>
      <x:color rgb="FFFFFFFF"/>
      <x:name val="Aptos"/>
    </x:font>
    <x:font>
      <x:b/>
      <x:sz val="18"/>
      <x:color rgb="FFFFFFFF"/>
      <x:name val="Aptos Display"/>
    </x:font>
  </x:fonts>
  <x:fills count="12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15324A"/>
      </x:patternFill>
    </x:fill>
    <x:fill>
      <x:patternFill patternType="solid">
        <x:fgColor rgb="FFEAF1F7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DFF7F4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9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left style="thin">
        <x:color rgb="FF334155"/>
      </x:left>
      <x:right style="thin">
        <x:color rgb="FF334155"/>
      </x:right>
      <x:top style="thin">
        <x:color rgb="FF334155"/>
      </x:top>
      <x:bottom style="thin">
        <x:color rgb="FF334155"/>
      </x:bottom>
    </x:border>
    <x:border>
      <x:left style="thin">
        <x:color rgb="FF1D4ED8"/>
      </x:left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bottom style="thin">
        <x:color rgb="FFE2E8F0"/>
      </x:bottom>
    </x:border>
  </x:borders>
  <x:cellStyleXfs count="1">
    <x:xf numFmtId="0" fontId="0" fillId="0" borderId="0"/>
  </x:cellStyleXfs>
  <x:cellXfs count="2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4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10" xfId="0" applyNumberFormat="1" applyFont="1" applyFill="1" applyBorder="1"/>
    <x:xf numFmtId="202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1" fontId="0" fillId="0" borderId="13" xfId="0" applyNumberFormat="1" applyFont="1" applyFill="1" applyBorder="1"/>
    <x:xf numFmtId="202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2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8" xfId="0" applyNumberFormat="1" applyFont="1" applyFill="1" applyBorder="1"/>
    <x:xf numFmtId="0" fontId="5" fillId="6" borderId="18" xfId="0" applyNumberFormat="1" applyFont="1" applyFill="1" applyBorder="1"/>
    <x:xf numFmtId="0" fontId="5" fillId="6" borderId="6" xfId="0" applyNumberFormat="1" applyFont="1" applyFill="1" applyBorder="1"/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vertical="center" wrapText="1"/>
    </x:xf>
    <x:xf numFmtId="0" fontId="5" fillId="6" borderId="15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14" xfId="0" applyNumberFormat="1" applyFont="1" applyFill="1" applyBorder="1"/>
    <x:xf numFmtId="0" fontId="8" fillId="7" borderId="12" xfId="0" applyNumberFormat="1" applyFont="1" applyFill="1" applyBorder="1"/>
    <x:xf numFmtId="0" fontId="8" fillId="7" borderId="8" xfId="0" applyNumberFormat="1" applyFont="1" applyFill="1" applyBorder="1"/>
    <x:xf numFmtId="0" fontId="8" fillId="7" borderId="6" xfId="0" applyNumberFormat="1" applyFont="1" applyFill="1" applyBorder="1"/>
    <x:xf numFmtId="204" fontId="8" fillId="7" borderId="14" xfId="0" applyNumberFormat="1" applyFont="1" applyFill="1" applyBorder="1"/>
    <x:xf numFmtId="204" fontId="8" fillId="7" borderId="12" xfId="0" applyNumberFormat="1" applyFont="1" applyFill="1" applyBorder="1"/>
    <x:xf numFmtId="204" fontId="8" fillId="7" borderId="8" xfId="0" applyNumberFormat="1" applyFont="1" applyFill="1" applyBorder="1"/>
    <x:xf numFmtId="204" fontId="8" fillId="7" borderId="6" xfId="0" applyNumberFormat="1" applyFont="1" applyFill="1" applyBorder="1"/>
    <x:xf numFmtId="204" fontId="8" fillId="7" borderId="14" xfId="0" applyNumberFormat="1" applyFont="1" applyFill="1" applyBorder="1" applyAlignment="1">
      <x:alignment horizontal="center"/>
    </x:xf>
    <x:xf numFmtId="204" fontId="8" fillId="7" borderId="12" xfId="0" applyNumberFormat="1" applyFont="1" applyFill="1" applyBorder="1" applyAlignment="1">
      <x:alignment horizontal="center"/>
    </x:xf>
    <x:xf numFmtId="204" fontId="8" fillId="7" borderId="8" xfId="0" applyNumberFormat="1" applyFont="1" applyFill="1" applyBorder="1" applyAlignment="1">
      <x:alignment horizontal="center"/>
    </x:xf>
    <x:xf numFmtId="204" fontId="8" fillId="7" borderId="6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/>
    <x:xf numFmtId="0" fontId="8" fillId="8" borderId="14" xfId="0" applyNumberFormat="1" applyFont="1" applyFill="1" applyBorder="1"/>
    <x:xf numFmtId="0" fontId="8" fillId="8" borderId="12" xfId="0" applyNumberFormat="1" applyFont="1" applyFill="1" applyBorder="1"/>
    <x:xf numFmtId="0" fontId="8" fillId="8" borderId="8" xfId="0" applyNumberFormat="1" applyFont="1" applyFill="1" applyBorder="1"/>
    <x:xf numFmtId="0" fontId="8" fillId="8" borderId="6" xfId="0" applyNumberFormat="1" applyFont="1" applyFill="1" applyBorder="1"/>
    <x:xf numFmtId="204" fontId="8" fillId="8" borderId="14" xfId="0" applyNumberFormat="1" applyFont="1" applyFill="1" applyBorder="1"/>
    <x:xf numFmtId="204" fontId="8" fillId="8" borderId="12" xfId="0" applyNumberFormat="1" applyFont="1" applyFill="1" applyBorder="1"/>
    <x:xf numFmtId="204" fontId="8" fillId="8" borderId="8" xfId="0" applyNumberFormat="1" applyFont="1" applyFill="1" applyBorder="1"/>
    <x:xf numFmtId="204" fontId="8" fillId="8" borderId="6" xfId="0" applyNumberFormat="1" applyFont="1" applyFill="1" applyBorder="1"/>
    <x:xf numFmtId="204" fontId="8" fillId="8" borderId="14" xfId="0" applyNumberFormat="1" applyFont="1" applyFill="1" applyBorder="1" applyAlignment="1">
      <x:alignment horizontal="center"/>
    </x:xf>
    <x:xf numFmtId="204" fontId="8" fillId="8" borderId="12" xfId="0" applyNumberFormat="1" applyFont="1" applyFill="1" applyBorder="1" applyAlignment="1">
      <x:alignment horizontal="center"/>
    </x:xf>
    <x:xf numFmtId="204" fontId="8" fillId="8" borderId="8" xfId="0" applyNumberFormat="1" applyFont="1" applyFill="1" applyBorder="1" applyAlignment="1">
      <x:alignment horizontal="center"/>
    </x:xf>
    <x:xf numFmtId="204" fontId="8" fillId="8" borderId="6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/>
    <x:xf numFmtId="0" fontId="8" fillId="9" borderId="14" xfId="0" applyNumberFormat="1" applyFont="1" applyFill="1" applyBorder="1"/>
    <x:xf numFmtId="0" fontId="8" fillId="9" borderId="12" xfId="0" applyNumberFormat="1" applyFont="1" applyFill="1" applyBorder="1"/>
    <x:xf numFmtId="0" fontId="8" fillId="9" borderId="8" xfId="0" applyNumberFormat="1" applyFont="1" applyFill="1" applyBorder="1"/>
    <x:xf numFmtId="0" fontId="8" fillId="9" borderId="6" xfId="0" applyNumberFormat="1" applyFont="1" applyFill="1" applyBorder="1"/>
    <x:xf numFmtId="204" fontId="8" fillId="9" borderId="14" xfId="0" applyNumberFormat="1" applyFont="1" applyFill="1" applyBorder="1"/>
    <x:xf numFmtId="204" fontId="8" fillId="9" borderId="12" xfId="0" applyNumberFormat="1" applyFont="1" applyFill="1" applyBorder="1"/>
    <x:xf numFmtId="204" fontId="8" fillId="9" borderId="8" xfId="0" applyNumberFormat="1" applyFont="1" applyFill="1" applyBorder="1"/>
    <x:xf numFmtId="204" fontId="8" fillId="9" borderId="6" xfId="0" applyNumberFormat="1" applyFont="1" applyFill="1" applyBorder="1"/>
    <x:xf numFmtId="204" fontId="8" fillId="9" borderId="14" xfId="0" applyNumberFormat="1" applyFont="1" applyFill="1" applyBorder="1" applyAlignment="1">
      <x:alignment horizontal="center"/>
    </x:xf>
    <x:xf numFmtId="204" fontId="8" fillId="9" borderId="12" xfId="0" applyNumberFormat="1" applyFont="1" applyFill="1" applyBorder="1" applyAlignment="1">
      <x:alignment horizontal="center"/>
    </x:xf>
    <x:xf numFmtId="204" fontId="8" fillId="9" borderId="8" xfId="0" applyNumberFormat="1" applyFont="1" applyFill="1" applyBorder="1" applyAlignment="1">
      <x:alignment horizontal="center"/>
    </x:xf>
    <x:xf numFmtId="204" fontId="8" fillId="9" borderId="6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/>
    <x:xf numFmtId="0" fontId="8" fillId="10" borderId="14" xfId="0" applyNumberFormat="1" applyFont="1" applyFill="1" applyBorder="1"/>
    <x:xf numFmtId="0" fontId="8" fillId="10" borderId="12" xfId="0" applyNumberFormat="1" applyFont="1" applyFill="1" applyBorder="1"/>
    <x:xf numFmtId="0" fontId="8" fillId="10" borderId="8" xfId="0" applyNumberFormat="1" applyFont="1" applyFill="1" applyBorder="1"/>
    <x:xf numFmtId="0" fontId="8" fillId="10" borderId="6" xfId="0" applyNumberFormat="1" applyFont="1" applyFill="1" applyBorder="1"/>
    <x:xf numFmtId="205" fontId="8" fillId="10" borderId="14" xfId="0" applyNumberFormat="1" applyFont="1" applyFill="1" applyBorder="1"/>
    <x:xf numFmtId="205" fontId="8" fillId="10" borderId="12" xfId="0" applyNumberFormat="1" applyFont="1" applyFill="1" applyBorder="1"/>
    <x:xf numFmtId="205" fontId="8" fillId="10" borderId="8" xfId="0" applyNumberFormat="1" applyFont="1" applyFill="1" applyBorder="1"/>
    <x:xf numFmtId="205" fontId="8" fillId="10" borderId="6" xfId="0" applyNumberFormat="1" applyFont="1" applyFill="1" applyBorder="1"/>
    <x:xf numFmtId="205" fontId="8" fillId="10" borderId="14" xfId="0" applyNumberFormat="1" applyFont="1" applyFill="1" applyBorder="1" applyAlignment="1">
      <x:alignment horizontal="center"/>
    </x:xf>
    <x:xf numFmtId="205" fontId="8" fillId="10" borderId="12" xfId="0" applyNumberFormat="1" applyFont="1" applyFill="1" applyBorder="1" applyAlignment="1">
      <x:alignment horizontal="center"/>
    </x:xf>
    <x:xf numFmtId="205" fontId="8" fillId="10" borderId="8" xfId="0" applyNumberFormat="1" applyFont="1" applyFill="1" applyBorder="1" applyAlignment="1">
      <x:alignment horizontal="center"/>
    </x:xf>
    <x:xf numFmtId="205" fontId="8" fillId="10" borderId="6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/>
    <x:xf numFmtId="0" fontId="13" fillId="4" borderId="0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 applyAlignment="1">
      <x:alignment horizontal="center"/>
    </x:xf>
    <x:xf numFmtId="0" fontId="14" fillId="8" borderId="0" xfId="0" applyNumberFormat="1" applyFont="1" applyFill="1" applyBorder="1" applyAlignment="1">
      <x:alignment horizontal="center"/>
    </x:xf>
    <x:xf numFmtId="0" fontId="14" fillId="9" borderId="0" xfId="0" applyNumberFormat="1" applyFont="1" applyFill="1" applyBorder="1" applyAlignment="1">
      <x:alignment horizontal="center"/>
    </x:xf>
    <x:xf numFmtId="0" fontId="14" fillId="10" borderId="0" xfId="0" applyNumberFormat="1" applyFont="1" applyFill="1" applyBorder="1" applyAlignment="1">
      <x:alignment horizontal="center"/>
    </x:xf>
    <x:xf numFmtId="204" fontId="15" fillId="7" borderId="14" xfId="0" applyNumberFormat="1" applyFont="1" applyFill="1" applyBorder="1" applyAlignment="1">
      <x:alignment horizontal="center"/>
    </x:xf>
    <x:xf numFmtId="204" fontId="15" fillId="7" borderId="12" xfId="0" applyNumberFormat="1" applyFont="1" applyFill="1" applyBorder="1" applyAlignment="1">
      <x:alignment horizontal="center"/>
    </x:xf>
    <x:xf numFmtId="204" fontId="15" fillId="8" borderId="14" xfId="0" applyNumberFormat="1" applyFont="1" applyFill="1" applyBorder="1" applyAlignment="1">
      <x:alignment horizontal="center"/>
    </x:xf>
    <x:xf numFmtId="204" fontId="15" fillId="8" borderId="12" xfId="0" applyNumberFormat="1" applyFont="1" applyFill="1" applyBorder="1" applyAlignment="1">
      <x:alignment horizontal="center"/>
    </x:xf>
    <x:xf numFmtId="204" fontId="15" fillId="9" borderId="14" xfId="0" applyNumberFormat="1" applyFont="1" applyFill="1" applyBorder="1" applyAlignment="1">
      <x:alignment horizontal="center"/>
    </x:xf>
    <x:xf numFmtId="204" fontId="15" fillId="9" borderId="12" xfId="0" applyNumberFormat="1" applyFont="1" applyFill="1" applyBorder="1" applyAlignment="1">
      <x:alignment horizontal="center"/>
    </x:xf>
    <x:xf numFmtId="205" fontId="15" fillId="10" borderId="14" xfId="0" applyNumberFormat="1" applyFont="1" applyFill="1" applyBorder="1" applyAlignment="1">
      <x:alignment horizontal="center"/>
    </x:xf>
    <x:xf numFmtId="205" fontId="15" fillId="10" borderId="12" xfId="0" applyNumberFormat="1" applyFont="1" applyFill="1" applyBorder="1" applyAlignment="1">
      <x:alignment horizontal="center"/>
    </x:xf>
    <x:xf numFmtId="204" fontId="15" fillId="7" borderId="8" xfId="0" applyNumberFormat="1" applyFont="1" applyFill="1" applyBorder="1" applyAlignment="1">
      <x:alignment horizontal="center"/>
    </x:xf>
    <x:xf numFmtId="204" fontId="15" fillId="7" borderId="6" xfId="0" applyNumberFormat="1" applyFont="1" applyFill="1" applyBorder="1" applyAlignment="1">
      <x:alignment horizontal="center"/>
    </x:xf>
    <x:xf numFmtId="204" fontId="15" fillId="8" borderId="8" xfId="0" applyNumberFormat="1" applyFont="1" applyFill="1" applyBorder="1" applyAlignment="1">
      <x:alignment horizontal="center"/>
    </x:xf>
    <x:xf numFmtId="204" fontId="15" fillId="8" borderId="6" xfId="0" applyNumberFormat="1" applyFont="1" applyFill="1" applyBorder="1" applyAlignment="1">
      <x:alignment horizontal="center"/>
    </x:xf>
    <x:xf numFmtId="204" fontId="15" fillId="9" borderId="8" xfId="0" applyNumberFormat="1" applyFont="1" applyFill="1" applyBorder="1" applyAlignment="1">
      <x:alignment horizontal="center"/>
    </x:xf>
    <x:xf numFmtId="204" fontId="15" fillId="9" borderId="6" xfId="0" applyNumberFormat="1" applyFont="1" applyFill="1" applyBorder="1" applyAlignment="1">
      <x:alignment horizontal="center"/>
    </x:xf>
    <x:xf numFmtId="205" fontId="15" fillId="10" borderId="8" xfId="0" applyNumberFormat="1" applyFont="1" applyFill="1" applyBorder="1" applyAlignment="1">
      <x:alignment horizontal="center"/>
    </x:xf>
    <x:xf numFmtId="205" fontId="15" fillId="10" borderId="6" xfId="0" applyNumberFormat="1" applyFont="1" applyFill="1" applyBorder="1" applyAlignment="1">
      <x:alignment horizontal="center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11" fillId="2" borderId="2" xfId="0" applyNumberFormat="1" applyFont="1" applyFill="1" applyBorder="1" applyAlignment="1">
      <x:alignment horizontal="center" vertical="center" wrapText="1"/>
    </x:xf>
    <x:xf numFmtId="0" fontId="11" fillId="2" borderId="3" xfId="0" applyNumberFormat="1" applyFont="1" applyFill="1" applyBorder="1" applyAlignment="1">
      <x:alignment horizontal="center" vertical="center" wrapText="1"/>
    </x:xf>
    <x:xf numFmtId="202" fontId="12" fillId="0" borderId="0" xfId="0" applyNumberFormat="1" applyFont="1" applyFill="1" applyBorder="1"/>
    <x:xf numFmtId="0" fontId="11" fillId="3" borderId="4" xfId="0" applyNumberFormat="1" applyFont="1" applyFill="1" applyBorder="1" applyAlignment="1">
      <x:alignment horizontal="center" vertical="center"/>
    </x:xf>
    <x:xf numFmtId="0" fontId="11" fillId="2" borderId="5" xfId="0" applyNumberFormat="1" applyFont="1" applyFill="1" applyBorder="1" applyAlignment="1">
      <x:alignment horizontal="center" vertical="center" wrapText="1"/>
    </x:xf>
    <x:xf numFmtId="0" fontId="12" fillId="0" borderId="6" xfId="0" applyNumberFormat="1" applyFont="1" applyFill="1" applyBorder="1"/>
    <x:xf numFmtId="0" fontId="12" fillId="0" borderId="7" xfId="0" applyNumberFormat="1" applyFont="1" applyFill="1" applyBorder="1"/>
    <x:xf numFmtId="201" fontId="12" fillId="0" borderId="7" xfId="0" applyNumberFormat="1" applyFont="1" applyFill="1" applyBorder="1"/>
    <x:xf numFmtId="202" fontId="12" fillId="0" borderId="7" xfId="0" applyNumberFormat="1" applyFont="1" applyFill="1" applyBorder="1"/>
    <x:xf numFmtId="0" fontId="12" fillId="0" borderId="8" xfId="0" applyNumberFormat="1" applyFont="1" applyFill="1" applyBorder="1"/>
    <x:xf numFmtId="0" fontId="12" fillId="0" borderId="9" xfId="0" applyNumberFormat="1" applyFont="1" applyFill="1" applyBorder="1"/>
    <x:xf numFmtId="0" fontId="12" fillId="0" borderId="10" xfId="0" applyNumberFormat="1" applyFont="1" applyFill="1" applyBorder="1"/>
    <x:xf numFmtId="201" fontId="12" fillId="0" borderId="10" xfId="0" applyNumberFormat="1" applyFont="1" applyFill="1" applyBorder="1"/>
    <x:xf numFmtId="202" fontId="12" fillId="0" borderId="10" xfId="0" applyNumberFormat="1" applyFont="1" applyFill="1" applyBorder="1"/>
    <x:xf numFmtId="0" fontId="12" fillId="0" borderId="11" xfId="0" applyNumberFormat="1" applyFont="1" applyFill="1" applyBorder="1"/>
    <x:xf numFmtId="0" fontId="12" fillId="0" borderId="12" xfId="0" applyNumberFormat="1" applyFont="1" applyFill="1" applyBorder="1"/>
    <x:xf numFmtId="0" fontId="12" fillId="0" borderId="13" xfId="0" applyNumberFormat="1" applyFont="1" applyFill="1" applyBorder="1"/>
    <x:xf numFmtId="201" fontId="12" fillId="0" borderId="13" xfId="0" applyNumberFormat="1" applyFont="1" applyFill="1" applyBorder="1"/>
    <x:xf numFmtId="202" fontId="12" fillId="0" borderId="13" xfId="0" applyNumberFormat="1" applyFont="1" applyFill="1" applyBorder="1"/>
    <x:xf numFmtId="0" fontId="12" fillId="0" borderId="14" xfId="0" applyNumberFormat="1" applyFont="1" applyFill="1" applyBorder="1"/>
    <x:xf numFmtId="0" fontId="15" fillId="5" borderId="0" xfId="0" applyNumberFormat="1" applyFont="1" applyFill="1" applyBorder="1" applyAlignment="1">
      <x:alignment vertical="center"/>
    </x:xf>
    <x:xf numFmtId="0" fontId="16" fillId="6" borderId="14" xfId="0" applyNumberFormat="1" applyFont="1" applyFill="1" applyBorder="1" applyAlignment="1">
      <x:alignment vertical="center" wrapText="1"/>
    </x:xf>
    <x:xf numFmtId="0" fontId="16" fillId="6" borderId="15" xfId="0" applyNumberFormat="1" applyFont="1" applyFill="1" applyBorder="1" applyAlignment="1">
      <x:alignment vertical="center" wrapText="1"/>
    </x:xf>
    <x:xf numFmtId="0" fontId="16" fillId="6" borderId="12" xfId="0" applyNumberFormat="1" applyFont="1" applyFill="1" applyBorder="1" applyAlignment="1">
      <x:alignment vertical="center" wrapText="1"/>
    </x:xf>
    <x:xf numFmtId="0" fontId="16" fillId="6" borderId="16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vertical="center" wrapText="1"/>
    </x:xf>
    <x:xf numFmtId="0" fontId="16" fillId="6" borderId="17" xfId="0" applyNumberFormat="1" applyFont="1" applyFill="1" applyBorder="1" applyAlignment="1">
      <x:alignment vertical="center" wrapText="1"/>
    </x:xf>
    <x:xf numFmtId="0" fontId="16" fillId="6" borderId="8" xfId="0" applyNumberFormat="1" applyFont="1" applyFill="1" applyBorder="1" applyAlignment="1">
      <x:alignment vertical="center" wrapText="1"/>
    </x:xf>
    <x:xf numFmtId="0" fontId="16" fillId="6" borderId="18" xfId="0" applyNumberFormat="1" applyFont="1" applyFill="1" applyBorder="1" applyAlignment="1">
      <x:alignment vertical="center" wrapText="1"/>
    </x:xf>
    <x:xf numFmtId="0" fontId="16" fillId="6" borderId="6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horizontal="center"/>
    </x:xf>
    <x:xf numFmtId="203" fontId="12" fillId="0" borderId="0" xfId="0" applyNumberFormat="1" applyFont="1" applyFill="1" applyBorder="1"/>
    <x:xf numFmtId="0" fontId="17" fillId="11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/>
    <x:xf numFmtId="200" fontId="12" fillId="0" borderId="0" xfId="0" applyNumberFormat="1" applyFont="1" applyFill="1" applyBorder="1"/>
    <x:xf numFmtId="0" fontId="19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610b9a01c4de5" /><Relationship Type="http://schemas.openxmlformats.org/officeDocument/2006/relationships/theme" Target="/xl/theme/theme1.xml" Id="R723c311b805446bf" /><Relationship Type="http://schemas.openxmlformats.org/officeDocument/2006/relationships/sharedStrings" Target="/xl/sharedStrings.xml" Id="R947727d2bc354190" /><Relationship Type="http://schemas.openxmlformats.org/officeDocument/2006/relationships/worksheet" Target="/xl/worksheets/sheet1.xml" Id="R5608f487a9184b2a" /><Relationship Type="http://schemas.openxmlformats.org/officeDocument/2006/relationships/worksheet" Target="/xl/worksheets/sheet2.xml" Id="Rea2e213abab540bb" /><Relationship Type="http://schemas.openxmlformats.org/officeDocument/2006/relationships/worksheet" Target="/xl/worksheets/sheet3.xml" Id="R169fe919284c4c7e" /><Relationship Type="http://schemas.openxmlformats.org/officeDocument/2006/relationships/worksheet" Target="/xl/worksheets/sheet4.xml" Id="R603bba3beb884fd3" /><Relationship Type="http://schemas.openxmlformats.org/officeDocument/2006/relationships/worksheet" Target="/xl/worksheets/sheet5.xml" Id="R14c24e39e1e14a4b" /><Relationship Type="http://schemas.openxmlformats.org/officeDocument/2006/relationships/worksheet" Target="/xl/worksheets/sheet6.xml" Id="R3270bbbd1ada49db" /><Relationship Type="http://schemas.microsoft.com/office/2017/10/relationships/person" Target="/xl/persons/person.xml" Id="R82823371384849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675aad3fc247a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1d9c4b2da36e44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Cost by Delivery Status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Actual Cost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'Executive Dashboard'!$A$10:$A$13</c:f>
              <c:strCache>
                <c:ptCount val="0"/>
              </c:strCache>
            </c:strRef>
          </c:cat>
          <c:val>
            <c:numRef>
              <c:f>'Executive Dashboard'!$C$10:$C$13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675aad3fc247a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6191250" cy="2857500"/>
    <xdr:pic>
      <xdr:nvPicPr>
        <xdr:cNvPr id="1" name="6c424d0e-4a92-41de-a9c8-28714d6fbb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9c4b2da36e44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User" id="{571FE25C-2785-4512-A76C-B53AF06F49F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5" dT="2026-08-21T18:21:51.871" personId="{571FE25C-2785-4512-A76C-B53AF06F49FA}" id="{8B0807B0-EA59-F8C2-B969-E0D83909D121}">
    <xltc:text>Portfolio budget is calculated from the Operations Data sheet.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9" dT="2026-08-21T18:21:51.871" personId="{571FE25C-2785-4512-A76C-B53AF06F49FA}" id="{C3AC6785-754C-77CD-7853-9D4C77E7ECCB}">
    <xltc:text>Free-text field intentionally spans multiple merged cells for extraction testing.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9518ca01f0f400a" /><Relationship Type="http://schemas.openxmlformats.org/officeDocument/2006/relationships/vmlDrawing" Target="/xl/drawings/vmldrawing.vml" Id="R43978a6feeba4941" /><Relationship Type="http://schemas.microsoft.com/office/2017/10/relationships/threadedComment" Target="/xl/threadedcomments/threadedcomment.xml" Id="R436df09fc5e34127" /><Relationship Type="http://schemas.openxmlformats.org/officeDocument/2006/relationships/drawing" Target="/xl/drawings/drawing1.xml" Id="Rc3ce89eb798f43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899059fdca1e4d00" /><Relationship Type="http://schemas.openxmlformats.org/officeDocument/2006/relationships/vmlDrawing" Target="/xl/drawings/vmldrawing2.vml" Id="R66783e2b7ca54702" /><Relationship Type="http://schemas.microsoft.com/office/2017/10/relationships/threadedComment" Target="/xl/threadedcomments/threadedcomment2.xml" Id="R6c1ee0a2d6c24d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e9a5bd8201454f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209" t="str">
        <x:v>Executive Delivery Dashboard</x:v>
      </x:c>
      <x:c r="B1" s="151"/>
      <x:c r="C1" s="151"/>
      <x:c r="D1" s="151"/>
      <x:c r="E1" s="151"/>
      <x:c r="F1" s="151"/>
      <x:c r="G1" s="151"/>
      <x:c r="H1" s="151"/>
    </x:row>
    <x:row r="2" ht="22" customHeight="1">
      <x:c r="A2" s="152" t="str">
        <x:v>Cross-sheet KPI cards and chart-driven management view</x:v>
      </x:c>
      <x:c r="B2" s="151"/>
      <x:c r="C2" s="151"/>
      <x:c r="D2" s="151"/>
      <x:c r="E2" s="151"/>
      <x:c r="F2" s="151"/>
      <x:c r="G2" s="151"/>
      <x:c r="H2" s="151"/>
    </x:row>
    <x:row r="3">
      <x:c r="A3" s="151"/>
      <x:c r="B3" s="151"/>
      <x:c r="C3" s="151"/>
      <x:c r="D3" s="151"/>
      <x:c r="E3" s="151"/>
      <x:c r="F3" s="151"/>
      <x:c r="G3" s="151"/>
      <x:c r="H3" s="151"/>
    </x:row>
    <x:row r="4">
      <x:c r="A4" s="153" t="str">
        <x:v>Portfolio budget</x:v>
      </x:c>
      <x:c r="B4" s="153" t="str">
        <x:v>Portfolio budget</x:v>
      </x:c>
      <x:c r="C4" s="154" t="str">
        <x:v>Actual cost</x:v>
      </x:c>
      <x:c r="D4" s="154" t="str">
        <x:v>Actual cost</x:v>
      </x:c>
      <x:c r="E4" s="155" t="str">
        <x:v>Remaining</x:v>
      </x:c>
      <x:c r="F4" s="155" t="str">
        <x:v>Remaining</x:v>
      </x:c>
      <x:c r="G4" s="156" t="str">
        <x:v>At-risk projects</x:v>
      </x:c>
      <x:c r="H4" s="156" t="str">
        <x:v>At-risk projects</x:v>
      </x:c>
    </x:row>
    <x:row r="5">
      <x:c r="A5" s="157" t="n">
        <x:f>SUM('Operations Data'!F6:F15)</x:f>
        <x:v>3355000</x:v>
      </x:c>
      <x:c r="B5" s="158"/>
      <x:c r="C5" s="159" t="n">
        <x:f>SUM('Operations Data'!G6:G15)</x:f>
        <x:v>2079500</x:v>
      </x:c>
      <x:c r="D5" s="160"/>
      <x:c r="E5" s="161" t="n">
        <x:f>SUM('Operations Data'!H6:H15)</x:f>
        <x:v>1275500</x:v>
      </x:c>
      <x:c r="F5" s="162"/>
      <x:c r="G5" s="163" t="n">
        <x:f>COUNTIF('Operations Data'!K6:K15,"At Risk")</x:f>
        <x:v>2</x:v>
      </x:c>
      <x:c r="H5" s="164"/>
    </x:row>
    <x:row r="6">
      <x:c r="A6" s="165"/>
      <x:c r="B6" s="166"/>
      <x:c r="C6" s="167"/>
      <x:c r="D6" s="168"/>
      <x:c r="E6" s="169"/>
      <x:c r="F6" s="170"/>
      <x:c r="G6" s="171"/>
      <x:c r="H6" s="172"/>
    </x:row>
    <x:row r="7">
      <x:c r="A7" s="151"/>
      <x:c r="B7" s="151"/>
      <x:c r="C7" s="151"/>
      <x:c r="D7" s="151"/>
      <x:c r="E7" s="151"/>
      <x:c r="F7" s="151"/>
      <x:c r="G7" s="151"/>
      <x:c r="H7" s="151"/>
    </x:row>
    <x:row r="8">
      <x:c r="A8" s="151"/>
      <x:c r="B8" s="151"/>
      <x:c r="C8" s="151"/>
      <x:c r="D8" s="151"/>
      <x:c r="E8" s="151"/>
      <x:c r="F8" s="151"/>
      <x:c r="G8" s="151"/>
      <x:c r="H8" s="151"/>
    </x:row>
    <x:row r="9" ht="28" customHeight="1">
      <x:c r="A9" s="173" t="str">
        <x:v>Status</x:v>
      </x:c>
      <x:c r="B9" s="174" t="str">
        <x:v>Project Count</x:v>
      </x:c>
      <x:c r="C9" s="175" t="str">
        <x:v>Actual Cost</x:v>
      </x:c>
      <x:c r="D9" s="151"/>
      <x:c r="E9" s="151"/>
      <x:c r="F9" s="151"/>
      <x:c r="G9" s="151"/>
      <x:c r="H9" s="151"/>
    </x:row>
    <x:row r="10">
      <x:c r="A10" s="151" t="str">
        <x:v>In Progress</x:v>
      </x:c>
      <x:c r="B10" s="151" t="n">
        <x:f>COUNTIF('Operations Data'!$K$6:$K$15,A10)</x:f>
        <x:v>4</x:v>
      </x:c>
      <x:c r="C10" s="176" t="n">
        <x:f>SUMIF('Operations Data'!$K$6:$K$15,A10,'Operations Data'!$G$6:$G$15)</x:f>
        <x:v>688000</x:v>
      </x:c>
      <x:c r="D10" s="151"/>
      <x:c r="E10" s="151"/>
      <x:c r="F10" s="151"/>
      <x:c r="G10" s="151"/>
      <x:c r="H10" s="151"/>
    </x:row>
    <x:row r="11">
      <x:c r="A11" s="151" t="str">
        <x:v>At Risk</x:v>
      </x:c>
      <x:c r="B11" s="151" t="n">
        <x:f>COUNTIF('Operations Data'!$K$6:$K$15,A11)</x:f>
        <x:v>2</x:v>
      </x:c>
      <x:c r="C11" s="176" t="n">
        <x:f>SUMIF('Operations Data'!$K$6:$K$15,A11,'Operations Data'!$G$6:$G$15)</x:f>
        <x:v>532500</x:v>
      </x:c>
      <x:c r="D11" s="151"/>
      <x:c r="E11" s="151"/>
      <x:c r="F11" s="151"/>
      <x:c r="G11" s="151"/>
      <x:c r="H11" s="151"/>
    </x:row>
    <x:row r="12">
      <x:c r="A12" s="151" t="str">
        <x:v>Complete</x:v>
      </x:c>
      <x:c r="B12" s="151" t="n">
        <x:f>COUNTIF('Operations Data'!$K$6:$K$15,A12)</x:f>
        <x:v>2</x:v>
      </x:c>
      <x:c r="C12" s="176" t="n">
        <x:f>SUMIF('Operations Data'!$K$6:$K$15,A12,'Operations Data'!$G$6:$G$15)</x:f>
        <x:v>594000</x:v>
      </x:c>
      <x:c r="D12" s="151"/>
      <x:c r="E12" s="151"/>
      <x:c r="F12" s="151"/>
      <x:c r="G12" s="151"/>
      <x:c r="H12" s="151"/>
    </x:row>
    <x:row r="13">
      <x:c r="A13" s="151" t="str">
        <x:v>On Hold</x:v>
      </x:c>
      <x:c r="B13" s="151" t="n">
        <x:f>COUNTIF('Operations Data'!$K$6:$K$15,A13)</x:f>
        <x:v>2</x:v>
      </x:c>
      <x:c r="C13" s="176" t="n">
        <x:f>SUMIF('Operations Data'!$K$6:$K$15,A13,'Operations Data'!$G$6:$G$15)</x:f>
        <x:v>265000</x:v>
      </x:c>
      <x:c r="D13" s="151"/>
      <x:c r="E13" s="151"/>
      <x:c r="F13" s="151"/>
      <x:c r="G13" s="151"/>
      <x:c r="H13" s="151"/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</x:mergeCells>
  <x:pageMargins left="0.7" right="0.7" top="0.75" bottom="0.75" header="0.3" footer="0.3"/>
  <x:drawing xmlns:r="http://schemas.openxmlformats.org/officeDocument/2006/relationships" r:id="Rc3ce89eb798f4335"/>
  <x:legacyDrawing xmlns:r="http://schemas.openxmlformats.org/officeDocument/2006/relationships" r:id="R43978a6feeba494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  <x:col min="11" max="11" width="14" hidden="0" customWidth="1"/>
  </x:cols>
  <x:sheetData>
    <x:row r="1" ht="30" customHeight="1">
      <x:c r="A1" s="209" t="str">
        <x:v>Program Operations Register</x:v>
      </x:c>
      <x:c r="B1" s="151"/>
      <x:c r="C1" s="151"/>
      <x:c r="D1" s="151"/>
      <x:c r="E1" s="151"/>
      <x:c r="F1" s="151"/>
      <x:c r="G1" s="151"/>
      <x:c r="H1" s="151"/>
      <x:c r="I1" s="151"/>
      <x:c r="J1" s="151"/>
      <x:c r="K1" s="151"/>
    </x:row>
    <x:row r="2" ht="22" customHeight="1">
      <x:c r="A2" s="152" t="str">
        <x:v>Level 3 · merged multi-row headers, cross-sheet logic, exception rules, repeated blocks, form layout, charts, and OCR image</x:v>
      </x:c>
      <x:c r="B2" s="151"/>
      <x:c r="C2" s="151"/>
      <x:c r="D2" s="151"/>
      <x:c r="E2" s="151"/>
      <x:c r="F2" s="151"/>
      <x:c r="G2" s="151"/>
      <x:c r="H2" s="151"/>
      <x:c r="I2" s="151"/>
      <x:c r="J2" s="151"/>
      <x:c r="K2" s="151"/>
    </x:row>
    <x:row r="3">
      <x:c r="A3" s="151"/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</x:row>
    <x:row r="4">
      <x:c r="A4" s="177" t="str">
        <x:v>Project ID</x:v>
      </x:c>
      <x:c r="B4" s="177" t="str">
        <x:v>Region</x:v>
      </x:c>
      <x:c r="C4" s="177" t="str">
        <x:v>Schedule</x:v>
      </x:c>
      <x:c r="D4" s="177"/>
      <x:c r="E4" s="177"/>
      <x:c r="F4" s="177" t="str">
        <x:v>Financial</x:v>
      </x:c>
      <x:c r="G4" s="177"/>
      <x:c r="H4" s="177"/>
      <x:c r="I4" s="177" t="str">
        <x:v>Delivery</x:v>
      </x:c>
      <x:c r="J4" s="177"/>
      <x:c r="K4" s="177"/>
    </x:row>
    <x:row r="5">
      <x:c r="A5" s="178"/>
      <x:c r="B5" s="178"/>
      <x:c r="C5" s="178" t="str">
        <x:v>Start Date</x:v>
      </x:c>
      <x:c r="D5" s="178" t="str">
        <x:v>Planned End</x:v>
      </x:c>
      <x:c r="E5" s="178" t="str">
        <x:v>Actual End</x:v>
      </x:c>
      <x:c r="F5" s="178" t="str">
        <x:v>Budget</x:v>
      </x:c>
      <x:c r="G5" s="178" t="str">
        <x:v>Actual Cost</x:v>
      </x:c>
      <x:c r="H5" s="178" t="str">
        <x:v>Variance</x:v>
      </x:c>
      <x:c r="I5" s="178" t="str">
        <x:v>Owner</x:v>
      </x:c>
      <x:c r="J5" s="178" t="str">
        <x:v>Priority</x:v>
      </x:c>
      <x:c r="K5" s="178" t="str">
        <x:v>Status</x:v>
      </x:c>
    </x:row>
    <x:row r="6">
      <x:c r="A6" s="179" t="str">
        <x:v>PRJ-001</x:v>
      </x:c>
      <x:c r="B6" s="180" t="str">
        <x:v>North</x:v>
      </x:c>
      <x:c r="C6" s="181" t="n">
        <x:v>46030</x:v>
      </x:c>
      <x:c r="D6" s="181" t="n">
        <x:v>46101</x:v>
      </x:c>
      <x:c r="E6" s="181" t="n">
        <x:v>46099</x:v>
      </x:c>
      <x:c r="F6" s="182" t="n">
        <x:v>280000</x:v>
      </x:c>
      <x:c r="G6" s="182" t="n">
        <x:v>265000</x:v>
      </x:c>
      <x:c r="H6" s="182" t="n">
        <x:f>F6-G6</x:f>
        <x:v>15000</x:v>
      </x:c>
      <x:c r="I6" s="180" t="str">
        <x:v>Nisha Rao</x:v>
      </x:c>
      <x:c r="J6" s="180" t="str">
        <x:v>High</x:v>
      </x:c>
      <x:c r="K6" s="183" t="str">
        <x:v>Complete</x:v>
      </x:c>
    </x:row>
    <x:row r="7">
      <x:c r="A7" s="184" t="str">
        <x:v>PRJ-002</x:v>
      </x:c>
      <x:c r="B7" s="185" t="str">
        <x:v>West</x:v>
      </x:c>
      <x:c r="C7" s="186" t="n">
        <x:v>46044</x:v>
      </x:c>
      <x:c r="D7" s="186" t="n">
        <x:v>46157</x:v>
      </x:c>
      <x:c r="E7" s="186"/>
      <x:c r="F7" s="187" t="n">
        <x:v>420000</x:v>
      </x:c>
      <x:c r="G7" s="187" t="n">
        <x:v>381000</x:v>
      </x:c>
      <x:c r="H7" s="187" t="n">
        <x:f>F7-G7</x:f>
        <x:v>39000</x:v>
      </x:c>
      <x:c r="I7" s="185" t="str">
        <x:v>Arun Singh</x:v>
      </x:c>
      <x:c r="J7" s="185" t="str">
        <x:v>Critical</x:v>
      </x:c>
      <x:c r="K7" s="188" t="str">
        <x:v>At Risk</x:v>
      </x:c>
    </x:row>
    <x:row r="8">
      <x:c r="A8" s="184" t="str">
        <x:v>PRJ-003</x:v>
      </x:c>
      <x:c r="B8" s="185" t="str">
        <x:v>South</x:v>
      </x:c>
      <x:c r="C8" s="186" t="n">
        <x:v>46057</x:v>
      </x:c>
      <x:c r="D8" s="186" t="n">
        <x:v>46203</x:v>
      </x:c>
      <x:c r="E8" s="186"/>
      <x:c r="F8" s="187" t="n">
        <x:v>195000</x:v>
      </x:c>
      <x:c r="G8" s="187" t="n">
        <x:v>112000</x:v>
      </x:c>
      <x:c r="H8" s="187" t="n">
        <x:f>F8-G8</x:f>
        <x:v>83000</x:v>
      </x:c>
      <x:c r="I8" s="185" t="str">
        <x:v>Meera Iyer</x:v>
      </x:c>
      <x:c r="J8" s="185" t="str">
        <x:v>Medium</x:v>
      </x:c>
      <x:c r="K8" s="188" t="str">
        <x:v>In Progress</x:v>
      </x:c>
    </x:row>
    <x:row r="9">
      <x:c r="A9" s="184" t="str">
        <x:v>PRJ-004</x:v>
      </x:c>
      <x:c r="B9" s="185" t="str">
        <x:v>East</x:v>
      </x:c>
      <x:c r="C9" s="186" t="n">
        <x:v>46071</x:v>
      </x:c>
      <x:c r="D9" s="186" t="n">
        <x:v>46137</x:v>
      </x:c>
      <x:c r="E9" s="186" t="n">
        <x:v>46139</x:v>
      </x:c>
      <x:c r="F9" s="187" t="n">
        <x:v>315000</x:v>
      </x:c>
      <x:c r="G9" s="187" t="n">
        <x:v>329000</x:v>
      </x:c>
      <x:c r="H9" s="187" t="n">
        <x:f>F9-G9</x:f>
        <x:v>-14000</x:v>
      </x:c>
      <x:c r="I9" s="185" t="str">
        <x:v>Kabir Shah</x:v>
      </x:c>
      <x:c r="J9" s="185" t="str">
        <x:v>High</x:v>
      </x:c>
      <x:c r="K9" s="188" t="str">
        <x:v>Complete</x:v>
      </x:c>
    </x:row>
    <x:row r="10">
      <x:c r="A10" s="184" t="str">
        <x:v>PRJ-005</x:v>
      </x:c>
      <x:c r="B10" s="185" t="str">
        <x:v>North</x:v>
      </x:c>
      <x:c r="C10" s="186" t="n">
        <x:v>46082</x:v>
      </x:c>
      <x:c r="D10" s="186" t="n">
        <x:v>46234</x:v>
      </x:c>
      <x:c r="E10" s="186"/>
      <x:c r="F10" s="187" t="n">
        <x:v>510000</x:v>
      </x:c>
      <x:c r="G10" s="187" t="n">
        <x:v>294000</x:v>
      </x:c>
      <x:c r="H10" s="187" t="n">
        <x:f>F10-G10</x:f>
        <x:v>216000</x:v>
      </x:c>
      <x:c r="I10" s="185" t="str">
        <x:v>Nisha Rao</x:v>
      </x:c>
      <x:c r="J10" s="185" t="str">
        <x:v>Critical</x:v>
      </x:c>
      <x:c r="K10" s="188" t="str">
        <x:v>In Progress</x:v>
      </x:c>
    </x:row>
    <x:row r="11">
      <x:c r="A11" s="184" t="str">
        <x:v>PRJ-006</x:v>
      </x:c>
      <x:c r="B11" s="185" t="str">
        <x:v>South</x:v>
      </x:c>
      <x:c r="C11" s="186" t="n">
        <x:v>46092</x:v>
      </x:c>
      <x:c r="D11" s="186" t="n">
        <x:v>46171</x:v>
      </x:c>
      <x:c r="E11" s="186"/>
      <x:c r="F11" s="187" t="n">
        <x:v>145000</x:v>
      </x:c>
      <x:c r="G11" s="187" t="n">
        <x:v>151500</x:v>
      </x:c>
      <x:c r="H11" s="187" t="n">
        <x:f>F11-G11</x:f>
        <x:v>-6500</x:v>
      </x:c>
      <x:c r="I11" s="185" t="str">
        <x:v>Meera Iyer</x:v>
      </x:c>
      <x:c r="J11" s="185" t="str">
        <x:v>High</x:v>
      </x:c>
      <x:c r="K11" s="188" t="str">
        <x:v>At Risk</x:v>
      </x:c>
    </x:row>
    <x:row r="12">
      <x:c r="A12" s="184" t="str">
        <x:v>PRJ-007</x:v>
      </x:c>
      <x:c r="B12" s="185" t="str">
        <x:v>West</x:v>
      </x:c>
      <x:c r="C12" s="186" t="n">
        <x:v>46114</x:v>
      </x:c>
      <x:c r="D12" s="186" t="n">
        <x:v>46248</x:v>
      </x:c>
      <x:c r="E12" s="186"/>
      <x:c r="F12" s="187" t="n">
        <x:v>360000</x:v>
      </x:c>
      <x:c r="G12" s="187" t="n">
        <x:v>189000</x:v>
      </x:c>
      <x:c r="H12" s="187" t="n">
        <x:f>F12-G12</x:f>
        <x:v>171000</x:v>
      </x:c>
      <x:c r="I12" s="185" t="str">
        <x:v>Arun Singh</x:v>
      </x:c>
      <x:c r="J12" s="185" t="str">
        <x:v>Low</x:v>
      </x:c>
      <x:c r="K12" s="188" t="str">
        <x:v>On Hold</x:v>
      </x:c>
    </x:row>
    <x:row r="13">
      <x:c r="A13" s="184" t="str">
        <x:v>PRJ-008</x:v>
      </x:c>
      <x:c r="B13" s="185" t="str">
        <x:v>East</x:v>
      </x:c>
      <x:c r="C13" s="186" t="n">
        <x:v>46132</x:v>
      </x:c>
      <x:c r="D13" s="186" t="n">
        <x:v>46283</x:v>
      </x:c>
      <x:c r="E13" s="186"/>
      <x:c r="F13" s="187" t="n">
        <x:v>275000</x:v>
      </x:c>
      <x:c r="G13" s="187" t="n">
        <x:v>88000</x:v>
      </x:c>
      <x:c r="H13" s="187" t="n">
        <x:f>F13-G13</x:f>
        <x:v>187000</x:v>
      </x:c>
      <x:c r="I13" s="185" t="str">
        <x:v>Kabir Shah</x:v>
      </x:c>
      <x:c r="J13" s="185" t="str">
        <x:v>Medium</x:v>
      </x:c>
      <x:c r="K13" s="188" t="str">
        <x:v>In Progress</x:v>
      </x:c>
    </x:row>
    <x:row r="14">
      <x:c r="A14" s="184" t="str">
        <x:v>PRJ-009</x:v>
      </x:c>
      <x:c r="B14" s="185" t="str">
        <x:v>North</x:v>
      </x:c>
      <x:c r="C14" s="186" t="n">
        <x:v>46148</x:v>
      </x:c>
      <x:c r="D14" s="186" t="n">
        <x:v>46297</x:v>
      </x:c>
      <x:c r="E14" s="186"/>
      <x:c r="F14" s="187" t="n">
        <x:v>620000</x:v>
      </x:c>
      <x:c r="G14" s="187" t="n">
        <x:v>194000</x:v>
      </x:c>
      <x:c r="H14" s="187" t="n">
        <x:f>F14-G14</x:f>
        <x:v>426000</x:v>
      </x:c>
      <x:c r="I14" s="185" t="str">
        <x:v>Nisha Rao</x:v>
      </x:c>
      <x:c r="J14" s="185" t="str">
        <x:v>Critical</x:v>
      </x:c>
      <x:c r="K14" s="188" t="str">
        <x:v>In Progress</x:v>
      </x:c>
    </x:row>
    <x:row r="15">
      <x:c r="A15" s="189" t="str">
        <x:v>PRJ-010</x:v>
      </x:c>
      <x:c r="B15" s="190" t="str">
        <x:v>South</x:v>
      </x:c>
      <x:c r="C15" s="191" t="n">
        <x:v>46167</x:v>
      </x:c>
      <x:c r="D15" s="191" t="n">
        <x:v>46339</x:v>
      </x:c>
      <x:c r="E15" s="191"/>
      <x:c r="F15" s="192" t="n">
        <x:v>235000</x:v>
      </x:c>
      <x:c r="G15" s="192" t="n">
        <x:v>76000</x:v>
      </x:c>
      <x:c r="H15" s="192" t="n">
        <x:f>F15-G15</x:f>
        <x:v>159000</x:v>
      </x:c>
      <x:c r="I15" s="190" t="str">
        <x:v>Meera Iyer</x:v>
      </x:c>
      <x:c r="J15" s="190" t="str">
        <x:v>Low</x:v>
      </x:c>
      <x:c r="K15" s="193" t="str">
        <x:v>On Hold</x:v>
      </x:c>
    </x:row>
  </x:sheetData>
  <x:mergeCells>
    <x:mergeCell ref="A1:K1"/>
    <x:mergeCell ref="A2:K2"/>
    <x:mergeCell ref="A4:A5"/>
    <x:mergeCell ref="B4:B5"/>
    <x:mergeCell ref="C4:E4"/>
    <x:mergeCell ref="F4:H4"/>
    <x:mergeCell ref="I4:K4"/>
  </x:mergeCells>
  <x:conditionalFormatting sqref="G6:G15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{C13C5EEA-FF4A-8542-5BC5-C8B708E4FC9B}</x14:id>
        </x:ext>
      </x:extLst>
    </x:cfRule>
  </x:conditionalFormatting>
  <x:conditionalFormatting sqref="H6:H15">
    <x:cfRule type="cellIs" dxfId="0" priority="2" operator="lessThan">
      <x:formula>0</x:formula>
    </x:cfRule>
  </x:conditionalFormatting>
  <x:conditionalFormatting sqref="K6:K15">
    <x:cfRule type="containsText" dxfId="1" priority="3" operator="containsText" text="At Risk"/>
    <x:cfRule type="containsText" dxfId="2" priority="4" operator="containsText" text="Complete"/>
  </x:conditionalFormatting>
  <x:dataValidations count="2">
    <x:dataValidation type="list" sqref="J6:J100">
      <x:formula1>'Lookup &amp; Rules'!$A$2:$A$5</x:formula1>
    </x:dataValidation>
    <x:dataValidation type="list" sqref="K6:K100">
      <x:formula1>"In Progress,At Risk,Complete,On Hold"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13C5EEA-FF4A-8542-5BC5-C8B708E4FC9B}">
            <x14:dataBar gradient="1">
              <x14:cfvo type="min"/>
              <x14:cfvo type="max"/>
              <x14:fillColor rgb="FF2563EB"/>
            </x14:dataBar>
          </x14:cfRule>
          <xm:sqref>G6:G15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209" t="str">
        <x:v>Project Intake Form</x:v>
      </x:c>
      <x:c r="B1" s="151"/>
      <x:c r="C1" s="151"/>
      <x:c r="D1" s="151"/>
      <x:c r="E1" s="151"/>
      <x:c r="F1" s="151"/>
    </x:row>
    <x:row r="2" ht="22" customHeight="1">
      <x:c r="A2" s="152" t="str">
        <x:v>Label/value layout designed to test form-like extraction and merged regions</x:v>
      </x:c>
      <x:c r="B2" s="151"/>
      <x:c r="C2" s="151"/>
      <x:c r="D2" s="151"/>
      <x:c r="E2" s="151"/>
      <x:c r="F2" s="151"/>
    </x:row>
    <x:row r="3">
      <x:c r="A3" s="151"/>
      <x:c r="B3" s="151"/>
      <x:c r="C3" s="151"/>
      <x:c r="D3" s="151"/>
      <x:c r="E3" s="151"/>
      <x:c r="F3" s="151"/>
    </x:row>
    <x:row r="4">
      <x:c r="A4" s="194" t="str">
        <x:v>Request ID</x:v>
      </x:c>
      <x:c r="B4" s="194"/>
      <x:c r="C4" s="195" t="str">
        <x:v>REQ-2026-048</x:v>
      </x:c>
      <x:c r="D4" s="196"/>
      <x:c r="E4" s="196"/>
      <x:c r="F4" s="197"/>
    </x:row>
    <x:row r="5">
      <x:c r="A5" s="194" t="str">
        <x:v>Requester</x:v>
      </x:c>
      <x:c r="B5" s="194"/>
      <x:c r="C5" s="198" t="str">
        <x:v>Priya Menon</x:v>
      </x:c>
      <x:c r="D5" s="199"/>
      <x:c r="E5" s="199"/>
      <x:c r="F5" s="200"/>
    </x:row>
    <x:row r="6">
      <x:c r="A6" s="194" t="str">
        <x:v>Department</x:v>
      </x:c>
      <x:c r="B6" s="194"/>
      <x:c r="C6" s="198" t="str">
        <x:v>Data Platform</x:v>
      </x:c>
      <x:c r="D6" s="199"/>
      <x:c r="E6" s="199"/>
      <x:c r="F6" s="200"/>
    </x:row>
    <x:row r="7">
      <x:c r="A7" s="194" t="str">
        <x:v>Priority</x:v>
      </x:c>
      <x:c r="B7" s="194"/>
      <x:c r="C7" s="198" t="str">
        <x:v>High</x:v>
      </x:c>
      <x:c r="D7" s="199"/>
      <x:c r="E7" s="199"/>
      <x:c r="F7" s="200"/>
    </x:row>
    <x:row r="8">
      <x:c r="A8" s="194" t="str">
        <x:v>Status</x:v>
      </x:c>
      <x:c r="B8" s="194"/>
      <x:c r="C8" s="198" t="str">
        <x:v>In Progress</x:v>
      </x:c>
      <x:c r="D8" s="199"/>
      <x:c r="E8" s="199"/>
      <x:c r="F8" s="200"/>
    </x:row>
    <x:row r="9" ht="26" customHeight="1">
      <x:c r="A9" s="194" t="str">
        <x:v>Business Need</x:v>
      </x:c>
      <x:c r="B9" s="194"/>
      <x:c r="C9" s="198" t="str">
        <x:v>Consolidate regional workbook reporting and automate exception monitoring.</x:v>
      </x:c>
      <x:c r="D9" s="199"/>
      <x:c r="E9" s="199"/>
      <x:c r="F9" s="200"/>
    </x:row>
    <x:row r="10" ht="26" customHeight="1">
      <x:c r="A10" s="151"/>
      <x:c r="B10" s="151"/>
      <x:c r="C10" s="198"/>
      <x:c r="D10" s="199"/>
      <x:c r="E10" s="199"/>
      <x:c r="F10" s="200"/>
    </x:row>
    <x:row r="11" ht="26" customHeight="1">
      <x:c r="A11" s="151"/>
      <x:c r="B11" s="151"/>
      <x:c r="C11" s="201"/>
      <x:c r="D11" s="202"/>
      <x:c r="E11" s="202"/>
      <x:c r="F11" s="203"/>
    </x:row>
  </x:sheetData>
  <x:mergeCells>
    <x:mergeCell ref="A1:F1"/>
    <x:mergeCell ref="A2:F2"/>
    <x:mergeCell ref="A4:B4"/>
    <x:mergeCell ref="C4:F4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11"/>
  </x:mergeCells>
  <x:dataValidations count="2">
    <x:dataValidation type="list" sqref="C7">
      <x:formula1>'Lookup &amp; Rules'!$A$2:$A$5</x:formula1>
    </x:dataValidation>
    <x:dataValidation type="list" sqref="C8">
      <x:formula1>"In Progress,At Risk,Complete,On Hold"</x:formula1>
    </x:dataValidation>
  </x:dataValidations>
  <x:pageMargins left="0.7" right="0.7" top="0.75" bottom="0.75" header="0.3" footer="0.3"/>
  <x:legacyDrawing xmlns:r="http://schemas.openxmlformats.org/officeDocument/2006/relationships" r:id="R66783e2b7ca5470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0" customHeight="1">
      <x:c r="A1" s="209" t="str">
        <x:v>Quarterly Delivery Blocks</x:v>
      </x:c>
      <x:c r="B1" s="151"/>
      <x:c r="C1" s="151"/>
      <x:c r="D1" s="151"/>
      <x:c r="E1" s="151"/>
      <x:c r="F1" s="151"/>
      <x:c r="G1" s="151"/>
      <x:c r="H1" s="151"/>
      <x:c r="I1" s="151"/>
    </x:row>
    <x:row r="2" ht="22" customHeight="1">
      <x:c r="A2" s="152" t="str">
        <x:v>Two repeated tabular regions with totals and equivalent structure</x:v>
      </x:c>
      <x:c r="B2" s="151"/>
      <x:c r="C2" s="151"/>
      <x:c r="D2" s="151"/>
      <x:c r="E2" s="151"/>
      <x:c r="F2" s="151"/>
      <x:c r="G2" s="151"/>
      <x:c r="H2" s="151"/>
      <x:c r="I2" s="151"/>
    </x:row>
    <x:row r="3">
      <x:c r="A3" s="151"/>
      <x:c r="B3" s="151"/>
      <x:c r="C3" s="151"/>
      <x:c r="D3" s="151"/>
      <x:c r="E3" s="151"/>
      <x:c r="F3" s="151"/>
      <x:c r="G3" s="151"/>
      <x:c r="H3" s="151"/>
      <x:c r="I3" s="151"/>
    </x:row>
    <x:row r="4">
      <x:c r="A4" s="204" t="str">
        <x:v>Q1 2026</x:v>
      </x:c>
      <x:c r="B4" s="204"/>
      <x:c r="C4" s="204"/>
      <x:c r="D4" s="204"/>
      <x:c r="E4" s="151"/>
      <x:c r="F4" s="204" t="str">
        <x:v>Q2 2026</x:v>
      </x:c>
      <x:c r="G4" s="204"/>
      <x:c r="H4" s="204"/>
      <x:c r="I4" s="204"/>
    </x:row>
    <x:row r="5" ht="28" customHeight="1">
      <x:c r="A5" s="173" t="str">
        <x:v>Team</x:v>
      </x:c>
      <x:c r="B5" s="174" t="str">
        <x:v>Planned</x:v>
      </x:c>
      <x:c r="C5" s="174" t="str">
        <x:v>Delivered</x:v>
      </x:c>
      <x:c r="D5" s="175" t="str">
        <x:v>Completion</x:v>
      </x:c>
      <x:c r="E5" s="151"/>
      <x:c r="F5" s="173" t="str">
        <x:v>Team</x:v>
      </x:c>
      <x:c r="G5" s="174" t="str">
        <x:v>Planned</x:v>
      </x:c>
      <x:c r="H5" s="174" t="str">
        <x:v>Delivered</x:v>
      </x:c>
      <x:c r="I5" s="175" t="str">
        <x:v>Completion</x:v>
      </x:c>
    </x:row>
    <x:row r="6">
      <x:c r="A6" s="151" t="str">
        <x:v>Data</x:v>
      </x:c>
      <x:c r="B6" s="151" t="n">
        <x:v>24</x:v>
      </x:c>
      <x:c r="C6" s="151" t="n">
        <x:v>22</x:v>
      </x:c>
      <x:c r="D6" s="205" t="n">
        <x:f>IFERROR(C6/B6,0)</x:f>
        <x:v>0.9166666666666666</x:v>
      </x:c>
      <x:c r="E6" s="151"/>
      <x:c r="F6" s="151" t="str">
        <x:v>Data</x:v>
      </x:c>
      <x:c r="G6" s="151" t="n">
        <x:v>28</x:v>
      </x:c>
      <x:c r="H6" s="151" t="n">
        <x:v>25</x:v>
      </x:c>
      <x:c r="I6" s="205" t="n">
        <x:f>IFERROR(H6/G6,0)</x:f>
        <x:v>0.8928571428571429</x:v>
      </x:c>
    </x:row>
    <x:row r="7">
      <x:c r="A7" s="151" t="str">
        <x:v>Platform</x:v>
      </x:c>
      <x:c r="B7" s="151" t="n">
        <x:v>18</x:v>
      </x:c>
      <x:c r="C7" s="151" t="n">
        <x:v>16</x:v>
      </x:c>
      <x:c r="D7" s="205" t="n">
        <x:f>IFERROR(C7/B7,0)</x:f>
        <x:v>0.8888888888888888</x:v>
      </x:c>
      <x:c r="E7" s="151"/>
      <x:c r="F7" s="151" t="str">
        <x:v>Platform</x:v>
      </x:c>
      <x:c r="G7" s="151" t="n">
        <x:v>22</x:v>
      </x:c>
      <x:c r="H7" s="151" t="n">
        <x:v>21</x:v>
      </x:c>
      <x:c r="I7" s="205" t="n">
        <x:f>IFERROR(H7/G7,0)</x:f>
        <x:v>0.9545454545454546</x:v>
      </x:c>
    </x:row>
    <x:row r="8">
      <x:c r="A8" s="151" t="str">
        <x:v>Quality</x:v>
      </x:c>
      <x:c r="B8" s="151" t="n">
        <x:v>15</x:v>
      </x:c>
      <x:c r="C8" s="151" t="n">
        <x:v>15</x:v>
      </x:c>
      <x:c r="D8" s="205" t="n">
        <x:f>IFERROR(C8/B8,0)</x:f>
        <x:v>1</x:v>
      </x:c>
      <x:c r="E8" s="151"/>
      <x:c r="F8" s="151" t="str">
        <x:v>Quality</x:v>
      </x:c>
      <x:c r="G8" s="151" t="n">
        <x:v>17</x:v>
      </x:c>
      <x:c r="H8" s="151" t="n">
        <x:v>16</x:v>
      </x:c>
      <x:c r="I8" s="205" t="n">
        <x:f>IFERROR(H8/G8,0)</x:f>
        <x:v>0.9411764705882353</x:v>
      </x:c>
    </x:row>
    <x:row r="9">
      <x:c r="A9" s="151" t="str">
        <x:v>Automation</x:v>
      </x:c>
      <x:c r="B9" s="151" t="n">
        <x:v>20</x:v>
      </x:c>
      <x:c r="C9" s="151" t="n">
        <x:v>17</x:v>
      </x:c>
      <x:c r="D9" s="205" t="n">
        <x:f>IFERROR(C9/B9,0)</x:f>
        <x:v>0.85</x:v>
      </x:c>
      <x:c r="E9" s="151"/>
      <x:c r="F9" s="151" t="str">
        <x:v>Automation</x:v>
      </x:c>
      <x:c r="G9" s="151" t="n">
        <x:v>24</x:v>
      </x:c>
      <x:c r="H9" s="151" t="n">
        <x:v>20</x:v>
      </x:c>
      <x:c r="I9" s="205" t="n">
        <x:f>IFERROR(H9/G9,0)</x:f>
        <x:v>0.8333333333333334</x:v>
      </x:c>
    </x:row>
    <x:row r="10">
      <x:c r="A10" s="151" t="str">
        <x:v>Total</x:v>
      </x:c>
      <x:c r="B10" s="151" t="n">
        <x:f>SUM(B6:B9)</x:f>
        <x:v>77</x:v>
      </x:c>
      <x:c r="C10" s="151" t="n">
        <x:f>SUM(C6:C9)</x:f>
        <x:v>70</x:v>
      </x:c>
      <x:c r="D10" s="205" t="n">
        <x:f>IFERROR(C10/B10,0)</x:f>
        <x:v>0.9090909090909091</x:v>
      </x:c>
      <x:c r="E10" s="151"/>
      <x:c r="F10" s="151" t="str">
        <x:v>Total</x:v>
      </x:c>
      <x:c r="G10" s="151" t="n">
        <x:f>SUM(G6:G9)</x:f>
        <x:v>91</x:v>
      </x:c>
      <x:c r="H10" s="151" t="n">
        <x:f>SUM(H6:H9)</x:f>
        <x:v>82</x:v>
      </x:c>
      <x:c r="I10" s="205" t="n">
        <x:f>IFERROR(H10/G10,0)</x:f>
        <x:v>0.9010989010989011</x:v>
      </x:c>
    </x:row>
  </x:sheetData>
  <x:mergeCells>
    <x:mergeCell ref="A1:J1"/>
    <x:mergeCell ref="A2:J2"/>
    <x:mergeCell ref="A4:D4"/>
    <x:mergeCell ref="F4:I4"/>
  </x:mergeCells>
  <x:conditionalFormatting sqref="D6:D1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6:I10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209" t="str">
        <x:v>Image Evidence</x:v>
      </x:c>
      <x:c r="B1" s="151"/>
      <x:c r="C1" s="151"/>
      <x:c r="D1" s="151"/>
      <x:c r="E1" s="151"/>
      <x:c r="F1" s="151"/>
      <x:c r="G1" s="151"/>
      <x:c r="H1" s="151"/>
    </x:row>
    <x:row r="2" ht="22" customHeight="1">
      <x:c r="A2" s="152" t="str">
        <x:v>Embedded raster evidence for OCR and visual-agent testing</x:v>
      </x:c>
      <x:c r="B2" s="151"/>
      <x:c r="C2" s="151"/>
      <x:c r="D2" s="151"/>
      <x:c r="E2" s="151"/>
      <x:c r="F2" s="151"/>
      <x:c r="G2" s="151"/>
      <x:c r="H2" s="151"/>
    </x:row>
    <x:row r="3">
      <x:c r="A3" s="151"/>
      <x:c r="B3" s="151"/>
      <x:c r="C3" s="151"/>
      <x:c r="D3" s="151"/>
      <x:c r="E3" s="151"/>
      <x:c r="F3" s="151"/>
      <x:c r="G3" s="151"/>
      <x:c r="H3" s="151"/>
    </x:row>
    <x:row r="4">
      <x:c r="A4" s="206" t="str">
        <x:v>The image below should yield shipment ID SHP-2048, customer Northwind Medical, amount 125000, and status RECEIVED.</x:v>
      </x:c>
      <x:c r="B4" s="206"/>
      <x:c r="C4" s="206"/>
      <x:c r="D4" s="206"/>
      <x:c r="E4" s="206"/>
      <x:c r="F4" s="206"/>
      <x:c r="G4" s="206"/>
      <x:c r="H4" s="206"/>
    </x:row>
    <x:row r="5">
      <x:c r="A5" s="151"/>
      <x:c r="B5" s="151"/>
      <x:c r="C5" s="151"/>
      <x:c r="D5" s="151"/>
      <x:c r="E5" s="151"/>
      <x:c r="F5" s="151"/>
      <x:c r="G5" s="151"/>
      <x:c r="H5" s="151"/>
    </x:row>
    <x:row r="6">
      <x:c r="A6" s="151"/>
      <x:c r="B6" s="151"/>
      <x:c r="C6" s="151"/>
      <x:c r="D6" s="151"/>
      <x:c r="E6" s="151"/>
      <x:c r="F6" s="151"/>
      <x:c r="G6" s="151"/>
      <x:c r="H6" s="151"/>
    </x:row>
    <x:row r="7">
      <x:c r="A7" s="151"/>
      <x:c r="B7" s="151"/>
      <x:c r="C7" s="151"/>
      <x:c r="D7" s="151"/>
      <x:c r="E7" s="151"/>
      <x:c r="F7" s="151"/>
      <x:c r="G7" s="151"/>
      <x:c r="H7" s="151"/>
    </x:row>
    <x:row r="8">
      <x:c r="A8" s="151"/>
      <x:c r="B8" s="151"/>
      <x:c r="C8" s="151"/>
      <x:c r="D8" s="151"/>
      <x:c r="E8" s="151"/>
      <x:c r="F8" s="151"/>
      <x:c r="G8" s="151"/>
      <x:c r="H8" s="151"/>
    </x:row>
    <x:row r="9">
      <x:c r="A9" s="151"/>
      <x:c r="B9" s="151"/>
      <x:c r="C9" s="151"/>
      <x:c r="D9" s="151"/>
      <x:c r="E9" s="151"/>
      <x:c r="F9" s="151"/>
      <x:c r="G9" s="151"/>
      <x:c r="H9" s="151"/>
    </x:row>
    <x:row r="10">
      <x:c r="A10" s="151"/>
      <x:c r="B10" s="151"/>
      <x:c r="C10" s="151"/>
      <x:c r="D10" s="151"/>
      <x:c r="E10" s="151"/>
      <x:c r="F10" s="151"/>
      <x:c r="G10" s="151"/>
      <x:c r="H10" s="151"/>
    </x:row>
    <x:row r="11">
      <x:c r="A11" s="151"/>
      <x:c r="B11" s="151"/>
      <x:c r="C11" s="151"/>
      <x:c r="D11" s="151"/>
      <x:c r="E11" s="151"/>
      <x:c r="F11" s="151"/>
      <x:c r="G11" s="151"/>
      <x:c r="H11" s="151"/>
    </x:row>
    <x:row r="12">
      <x:c r="A12" s="151"/>
      <x:c r="B12" s="151"/>
      <x:c r="C12" s="151"/>
      <x:c r="D12" s="151"/>
      <x:c r="E12" s="151"/>
      <x:c r="F12" s="151"/>
      <x:c r="G12" s="151"/>
      <x:c r="H12" s="151"/>
    </x:row>
    <x:row r="13">
      <x:c r="A13" s="151"/>
      <x:c r="B13" s="151"/>
      <x:c r="C13" s="151"/>
      <x:c r="D13" s="151"/>
      <x:c r="E13" s="151"/>
      <x:c r="F13" s="151"/>
      <x:c r="G13" s="151"/>
      <x:c r="H13" s="151"/>
    </x:row>
    <x:row r="14">
      <x:c r="A14" s="151"/>
      <x:c r="B14" s="151"/>
      <x:c r="C14" s="151"/>
      <x:c r="D14" s="151"/>
      <x:c r="E14" s="151"/>
      <x:c r="F14" s="151"/>
      <x:c r="G14" s="151"/>
      <x:c r="H14" s="151"/>
    </x:row>
    <x:row r="15">
      <x:c r="A15" s="151"/>
      <x:c r="B15" s="151"/>
      <x:c r="C15" s="151"/>
      <x:c r="D15" s="151"/>
      <x:c r="E15" s="151"/>
      <x:c r="F15" s="151"/>
      <x:c r="G15" s="151"/>
      <x:c r="H15" s="151"/>
    </x:row>
    <x:row r="16">
      <x:c r="A16" s="151"/>
      <x:c r="B16" s="151"/>
      <x:c r="C16" s="151"/>
      <x:c r="D16" s="151"/>
      <x:c r="E16" s="151"/>
      <x:c r="F16" s="151"/>
      <x:c r="G16" s="151"/>
      <x:c r="H16" s="151"/>
    </x:row>
    <x:row r="17">
      <x:c r="A17" s="151"/>
      <x:c r="B17" s="151"/>
      <x:c r="C17" s="151"/>
      <x:c r="D17" s="151"/>
      <x:c r="E17" s="151"/>
      <x:c r="F17" s="151"/>
      <x:c r="G17" s="151"/>
      <x:c r="H17" s="151"/>
    </x:row>
    <x:row r="18">
      <x:c r="A18" s="151"/>
      <x:c r="B18" s="151"/>
      <x:c r="C18" s="151"/>
      <x:c r="D18" s="151"/>
      <x:c r="E18" s="151"/>
      <x:c r="F18" s="151"/>
      <x:c r="G18" s="151"/>
      <x:c r="H18" s="151"/>
    </x:row>
    <x:row r="19">
      <x:c r="A19" s="151"/>
      <x:c r="B19" s="151"/>
      <x:c r="C19" s="151"/>
      <x:c r="D19" s="151"/>
      <x:c r="E19" s="151"/>
      <x:c r="F19" s="151"/>
      <x:c r="G19" s="151"/>
      <x:c r="H19" s="151"/>
    </x:row>
    <x:row r="20">
      <x:c r="A20" s="207" t="str">
        <x:v> </x:v>
      </x:c>
      <x:c r="B20" s="151"/>
      <x:c r="C20" s="151"/>
      <x:c r="D20" s="151"/>
      <x:c r="E20" s="151"/>
      <x:c r="F20" s="151"/>
      <x:c r="G20" s="151"/>
      <x:c r="H20" s="151"/>
    </x:row>
  </x:sheetData>
  <x:mergeCells>
    <x:mergeCell ref="A1:H1"/>
    <x:mergeCell ref="A2:H2"/>
    <x:mergeCell ref="A4:H4"/>
  </x:mergeCells>
  <x:pageMargins left="0.7" right="0.7" top="0.75" bottom="0.75" header="0.3" footer="0.3"/>
  <x:drawing xmlns:r="http://schemas.openxmlformats.org/officeDocument/2006/relationships" r:id="Re9a5bd8201454f5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8" customHeight="1">
      <x:c r="A1" s="173" t="str">
        <x:v>Priority</x:v>
      </x:c>
      <x:c r="B1" s="174" t="str">
        <x:v>SLA Days</x:v>
      </x:c>
      <x:c r="C1" s="175" t="str">
        <x:v>Escalation Threshold</x:v>
      </x:c>
    </x:row>
    <x:row r="2">
      <x:c r="A2" s="151" t="str">
        <x:v>Critical</x:v>
      </x:c>
      <x:c r="B2" s="151" t="n">
        <x:v>3</x:v>
      </x:c>
      <x:c r="C2" s="208" t="n">
        <x:v>0.8</x:v>
      </x:c>
    </x:row>
    <x:row r="3">
      <x:c r="A3" s="151" t="str">
        <x:v>High</x:v>
      </x:c>
      <x:c r="B3" s="151" t="n">
        <x:v>7</x:v>
      </x:c>
      <x:c r="C3" s="208" t="n">
        <x:v>0.65</x:v>
      </x:c>
    </x:row>
    <x:row r="4">
      <x:c r="A4" s="151" t="str">
        <x:v>Medium</x:v>
      </x:c>
      <x:c r="B4" s="151" t="n">
        <x:v>14</x:v>
      </x:c>
      <x:c r="C4" s="208" t="n">
        <x:v>0.5</x:v>
      </x:c>
    </x:row>
    <x:row r="5">
      <x:c r="A5" s="151" t="str">
        <x:v>Low</x:v>
      </x:c>
      <x:c r="B5" s="151" t="n">
        <x:v>30</x:v>
      </x:c>
      <x:c r="C5" s="208" t="n">
        <x:v>0.3</x:v>
      </x:c>
    </x:row>
    <x:row r="6">
      <x:c r="A6" s="151"/>
      <x:c r="B6" s="151"/>
      <x:c r="C6" s="151"/>
    </x:row>
    <x:row r="7" ht="28" customHeight="1">
      <x:c r="A7" s="173" t="str">
        <x:v>Status</x:v>
      </x:c>
      <x:c r="B7" s="175" t="str">
        <x:v>Meaning</x:v>
      </x:c>
      <x:c r="C7" s="151"/>
    </x:row>
    <x:row r="8">
      <x:c r="A8" s="151" t="str">
        <x:v>In Progress</x:v>
      </x:c>
      <x:c r="B8" s="151" t="str">
        <x:v>Work underway</x:v>
      </x:c>
      <x:c r="C8" s="151"/>
    </x:row>
    <x:row r="9">
      <x:c r="A9" s="151" t="str">
        <x:v>At Risk</x:v>
      </x:c>
      <x:c r="B9" s="151" t="str">
        <x:v>Threshold breached</x:v>
      </x:c>
      <x:c r="C9" s="151"/>
    </x:row>
    <x:row r="10">
      <x:c r="A10" s="151" t="str">
        <x:v>Complete</x:v>
      </x:c>
      <x:c r="B10" s="151" t="str">
        <x:v>Delivered</x:v>
      </x:c>
      <x:c r="C10" s="151"/>
    </x:row>
    <x:row r="11">
      <x:c r="A11" s="151" t="str">
        <x:v>On Hold</x:v>
      </x:c>
      <x:c r="B11" s="151" t="str">
        <x:v>Paused</x:v>
      </x:c>
      <x:c r="C11" s="151"/>
    </x:row>
  </x:sheetData>
  <x:pageMargins left="0.7" right="0.7" top="0.75" bottom="0.75" header="0.3" footer="0.3"/>
</x:worksheet>
</file>